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autoCompressPictures="0" defaultThemeVersion="124226"/>
  <mc:AlternateContent xmlns:mc="http://schemas.openxmlformats.org/markup-compatibility/2006">
    <mc:Choice Requires="x15">
      <x15ac:absPath xmlns:x15ac="http://schemas.microsoft.com/office/spreadsheetml/2010/11/ac" url="K:\Shared drives\2025-26_IONIC Consulting Engineers\_Projects\2026\19 Floresta 28 Manik's Residence (Rohit)(Plumbing)\BOQ\"/>
    </mc:Choice>
  </mc:AlternateContent>
  <xr:revisionPtr revIDLastSave="0" documentId="13_ncr:1_{2D85CD99-DF70-40C2-A910-3CC0C64E85FC}" xr6:coauthVersionLast="47" xr6:coauthVersionMax="47" xr10:uidLastSave="{00000000-0000-0000-0000-000000000000}"/>
  <bookViews>
    <workbookView xWindow="28680" yWindow="-120" windowWidth="29040" windowHeight="15720" xr2:uid="{00000000-000D-0000-FFFF-FFFF00000000}"/>
  </bookViews>
  <sheets>
    <sheet name="BOQ" sheetId="5"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BLK2">#REF!</definedName>
    <definedName name="_______FIT1">#REF!</definedName>
    <definedName name="_______MS2">#N/A</definedName>
    <definedName name="______BLK1">#REF!</definedName>
    <definedName name="______BLK2">#REF!</definedName>
    <definedName name="______FIT1">#REF!</definedName>
    <definedName name="______FIT2">#REF!</definedName>
    <definedName name="______MS2">#N/A</definedName>
    <definedName name="_____BLK1">#REF!</definedName>
    <definedName name="_____BLK2">#REF!</definedName>
    <definedName name="_____FIT1">#REF!</definedName>
    <definedName name="_____FIT2">#REF!</definedName>
    <definedName name="_____MS2">#N/A</definedName>
    <definedName name="____BLK1">#REF!</definedName>
    <definedName name="____BLK2">#REF!</definedName>
    <definedName name="____FIT1">#REF!</definedName>
    <definedName name="____FIT2">#REF!</definedName>
    <definedName name="____MS2">#N/A</definedName>
    <definedName name="___BLK1">#REF!</definedName>
    <definedName name="___BLK2">#REF!</definedName>
    <definedName name="___FIT1">#REF!</definedName>
    <definedName name="___FIT2">#REF!</definedName>
    <definedName name="___MS2">#N/A</definedName>
    <definedName name="__BLK1">#REF!</definedName>
    <definedName name="__BLK2">#REF!</definedName>
    <definedName name="__FIT1">#REF!</definedName>
    <definedName name="__FIT2">#REF!</definedName>
    <definedName name="__MS2">#REF!</definedName>
    <definedName name="_10.1">#REF!</definedName>
    <definedName name="_3.1">#REF!</definedName>
    <definedName name="_3.10">#REF!</definedName>
    <definedName name="_3.11">#REF!</definedName>
    <definedName name="_3.12">#REF!</definedName>
    <definedName name="_3.13">#REF!</definedName>
    <definedName name="_3.14">#REF!</definedName>
    <definedName name="_3.15">#REF!</definedName>
    <definedName name="_3.16">#REF!</definedName>
    <definedName name="_3.17">#REF!</definedName>
    <definedName name="_3.2">#REF!</definedName>
    <definedName name="_3.3">#REF!</definedName>
    <definedName name="_3.4">#REF!</definedName>
    <definedName name="_3.5">#REF!</definedName>
    <definedName name="_3.6">#REF!</definedName>
    <definedName name="_3.7">#REF!</definedName>
    <definedName name="_3.8">#REF!</definedName>
    <definedName name="_3.9">#REF!</definedName>
    <definedName name="_BLK1">#REF!</definedName>
    <definedName name="_BLK2">#REF!</definedName>
    <definedName name="_carriage">#REF!</definedName>
    <definedName name="_eco3">#REF!</definedName>
    <definedName name="_FIT1">#REF!</definedName>
    <definedName name="_FIT2">#REF!</definedName>
    <definedName name="_MS2">#REF!</definedName>
    <definedName name="_Rate">#REF!</definedName>
    <definedName name="a">#REF!</definedName>
    <definedName name="AA">#REF!</definedName>
    <definedName name="AAC_Blocks">#REF!</definedName>
    <definedName name="abc">#REF!</definedName>
    <definedName name="Adjustable_Span_ESOSI">#REF!</definedName>
    <definedName name="Adjustable_Telescopic_prop">#REF!</definedName>
    <definedName name="Analysis4">[1]labour!$C$7</definedName>
    <definedName name="asd">[2]labour!$C$7</definedName>
    <definedName name="b">#REF!</definedName>
    <definedName name="BAND">#REF!</definedName>
    <definedName name="bat">#REF!</definedName>
    <definedName name="Beam_Clamp">#REF!</definedName>
    <definedName name="Beg_Bal">#REF!</definedName>
    <definedName name="BEL">#REF!</definedName>
    <definedName name="bent">#REF!</definedName>
    <definedName name="BHIST">#REF!</definedName>
    <definedName name="Brick_Aggregate">#REF!</definedName>
    <definedName name="Bricks">#REF!</definedName>
    <definedName name="Cable_Details">#REF!</definedName>
    <definedName name="CARP">#REF!</definedName>
    <definedName name="CARP1">#REF!</definedName>
    <definedName name="CARP2">#REF!</definedName>
    <definedName name="Carriage">#REF!</definedName>
    <definedName name="Carriage_AAC">#REF!</definedName>
    <definedName name="Carriage_Aggregate">#REF!</definedName>
    <definedName name="Carriage_Aggregate_20">#REF!</definedName>
    <definedName name="Carriage_Aggregate40">#REF!</definedName>
    <definedName name="Carriage_Bitumen">#REF!</definedName>
    <definedName name="Carriage_Bricks">#REF!</definedName>
    <definedName name="Carriage_cement">#REF!</definedName>
    <definedName name="Carriage_Marble">#REF!</definedName>
    <definedName name="Carriage_MS_bar_6mm">#REF!</definedName>
    <definedName name="Carriage_of_Brick_Agg">#REF!</definedName>
    <definedName name="Carriage_RMC">#REF!</definedName>
    <definedName name="Carriage_Sand">#REF!</definedName>
    <definedName name="Carriage_Steel">#REF!</definedName>
    <definedName name="Carriage_tile">#REF!</definedName>
    <definedName name="Carriage_Water_proof">#REF!</definedName>
    <definedName name="cc">#REF!</definedName>
    <definedName name="ccd">#REF!</definedName>
    <definedName name="Cement">#REF!</definedName>
    <definedName name="Channel_Shoulders">#REF!</definedName>
    <definedName name="CHOW">#REF!</definedName>
    <definedName name="CI">#REF!</definedName>
    <definedName name="CIVIL_WORKS">#REF!</definedName>
    <definedName name="CO">'[3]labour rates'!$C$7</definedName>
    <definedName name="coalsp">#REF!</definedName>
    <definedName name="Coarse_Sand">#REF!</definedName>
    <definedName name="cobo">#REF!</definedName>
    <definedName name="Cold_twisted_steel_bars___TMT">#REF!</definedName>
    <definedName name="Column_Clamp">#REF!</definedName>
    <definedName name="conm">#REF!</definedName>
    <definedName name="Connected_KW">#REF!</definedName>
    <definedName name="conpmp">#REF!</definedName>
    <definedName name="cook">#REF!</definedName>
    <definedName name="COOL">#REF!</definedName>
    <definedName name="Corner_Ange_2.5m">#REF!</definedName>
    <definedName name="Corner_Angel">#REF!</definedName>
    <definedName name="Corner_Angel_1.5m">#REF!</definedName>
    <definedName name="cran20">#REF!</definedName>
    <definedName name="crane">#REF!</definedName>
    <definedName name="D">#REF!</definedName>
    <definedName name="Data">#REF!</definedName>
    <definedName name="DD">#REF!</definedName>
    <definedName name="Diesel">#REF!</definedName>
    <definedName name="Double_Clip">#REF!</definedName>
    <definedName name="DR">#REF!</definedName>
    <definedName name="e">#REF!</definedName>
    <definedName name="End_Bal">#REF!</definedName>
    <definedName name="exc">[2]labour!$C$7</definedName>
    <definedName name="excav">#REF!</definedName>
    <definedName name="Excavation">#REF!</definedName>
    <definedName name="Excel_BuiltIn_Print_Area">#REF!</definedName>
    <definedName name="Excel_BuiltIn_Print_Area_1">#REF!</definedName>
    <definedName name="Excel_BuiltIn_Print_Area_1_1">#REF!</definedName>
    <definedName name="Excel_BuiltIn_Print_Area_10">#REF!</definedName>
    <definedName name="Excel_BuiltIn_Print_Area_2">#REF!</definedName>
    <definedName name="Excel_BuiltIn_Print_Area_2_1_1">#REF!</definedName>
    <definedName name="Excel_BuiltIn_Print_Area_3_1_1">#REF!</definedName>
    <definedName name="Excel_BuiltIn_Print_Area_4">#REF!</definedName>
    <definedName name="Excel_BuiltIn_Print_Area_5">#REF!</definedName>
    <definedName name="Excel_BuiltIn_Print_Area_6">#REF!</definedName>
    <definedName name="Excel_BuiltIn_Print_Area_8">#REF!</definedName>
    <definedName name="Excel_BuiltIn_Print_Area_9">#REF!</definedName>
    <definedName name="Excel_BuiltIn_Print_Titles">#REF!</definedName>
    <definedName name="Excel_BuiltIn_Print_Titles_2">#REF!</definedName>
    <definedName name="Excel_BuiltIn_Print_Titles_2_1">#REF!</definedName>
    <definedName name="Excel_BuiltIn_Print_Titles_2_1_1">#REF!</definedName>
    <definedName name="Excel_BuiltIn_Print_Titles_4">#REF!</definedName>
    <definedName name="Excel_BuiltIn_Print_Titles_6">#REF!</definedName>
    <definedName name="Extra_Pay">#REF!</definedName>
    <definedName name="f">#REF!</definedName>
    <definedName name="ffffff">#REF!</definedName>
    <definedName name="Fine_Sand">#REF!</definedName>
    <definedName name="Flame_Finished_Granite_Green_Fanatsy">#REF!</definedName>
    <definedName name="floor">#REF!</definedName>
    <definedName name="Floriana_Marble">#REF!</definedName>
    <definedName name="From">#REF!</definedName>
    <definedName name="Fuel_Coal">#REF!</definedName>
    <definedName name="Full_Print">#REF!</definedName>
    <definedName name="Fuse">#REF!</definedName>
    <definedName name="g">#REF!</definedName>
    <definedName name="gen">#REF!</definedName>
    <definedName name="GF">#REF!</definedName>
    <definedName name="GL">#REF!</definedName>
    <definedName name="GLA">#REF!</definedName>
    <definedName name="GP">#REF!</definedName>
    <definedName name="GR">#REF!</definedName>
    <definedName name="granite_brown">#REF!</definedName>
    <definedName name="grind">#REF!</definedName>
    <definedName name="h">#REF!</definedName>
    <definedName name="Header_Row">ROW(#REF!)</definedName>
    <definedName name="Hel">'[4]labour rates'!$C$5</definedName>
    <definedName name="hmp">#REF!</definedName>
    <definedName name="Int">#REF!</definedName>
    <definedName name="Interest_Rate">#REF!</definedName>
    <definedName name="ItemTotal">[5]BOQ!#REF!</definedName>
    <definedName name="j">#REF!</definedName>
    <definedName name="Jamuna_Sand">#REF!</definedName>
    <definedName name="joint">#REF!</definedName>
    <definedName name="k">#REF!</definedName>
    <definedName name="Kail_II_nd_class_board">#REF!</definedName>
    <definedName name="Kail_II_nd_class_scantling">#REF!</definedName>
    <definedName name="kapil">'[4]labour rates'!$C$6</definedName>
    <definedName name="Kerosene_Oil">#REF!</definedName>
    <definedName name="khal">'[4]labour rates'!$C$4</definedName>
    <definedName name="l">#REF!</definedName>
    <definedName name="Last_Row">#N/A</definedName>
    <definedName name="Length__m">#REF!</definedName>
    <definedName name="load">#REF!</definedName>
    <definedName name="Loan_Amount">#REF!</definedName>
    <definedName name="Loan_Start">#REF!</definedName>
    <definedName name="Loan_Years">#REF!</definedName>
    <definedName name="lodr">#REF!</definedName>
    <definedName name="M.P.HALL">[6]ESTIMATE!$F$315</definedName>
    <definedName name="M1_">#REF!</definedName>
    <definedName name="M2_">#REF!</definedName>
    <definedName name="Maòole_Dust">#REF!</definedName>
    <definedName name="Marble_Dust">#REF!</definedName>
    <definedName name="MAS">#REF!</definedName>
    <definedName name="MATE">#REF!</definedName>
    <definedName name="MI">#REF!</definedName>
    <definedName name="MO">#REF!</definedName>
    <definedName name="Mobile_crane">#REF!</definedName>
    <definedName name="MP">#REF!</definedName>
    <definedName name="MPELE">[7]REVISED!$F$244</definedName>
    <definedName name="MRItemTotal">[5]BOQ!#REF!</definedName>
    <definedName name="MS_bar">#REF!</definedName>
    <definedName name="MS_bar_6mm">#REF!</definedName>
    <definedName name="MS_Tube_40mm">#REF!</definedName>
    <definedName name="Mural_Tiles">#REF!</definedName>
    <definedName name="np">#REF!</definedName>
    <definedName name="Num_Pmt_Per_Year">#REF!</definedName>
    <definedName name="Number_of_Payments">MATCH(0.01,End_Bal,-1)+1</definedName>
    <definedName name="o">[8]Enquire!#REF!</definedName>
    <definedName name="OP">#REF!</definedName>
    <definedName name="PA">#REF!</definedName>
    <definedName name="paver">#REF!</definedName>
    <definedName name="Paving_Bitumen_S_90">#REF!</definedName>
    <definedName name="Pay_Date">#REF!</definedName>
    <definedName name="Pay_Num">#REF!</definedName>
    <definedName name="Payment_Date">DATE(YEAR(Loan_Start),MONTH(Loan_Start)+Payment_Number,DAY(Loan_Start))</definedName>
    <definedName name="pc">#REF!</definedName>
    <definedName name="PF">#REF!</definedName>
    <definedName name="PFC">#REF!</definedName>
    <definedName name="PFL">#REF!</definedName>
    <definedName name="Phase">#REF!</definedName>
    <definedName name="pin">#REF!</definedName>
    <definedName name="PL">#REF!</definedName>
    <definedName name="Plasticizer">#REF!</definedName>
    <definedName name="pmp">#REF!</definedName>
    <definedName name="Powder">#REF!</definedName>
    <definedName name="PR">#REF!</definedName>
    <definedName name="Princ">#REF!</definedName>
    <definedName name="_xlnm.Print_Area" localSheetId="0">BOQ!$A$1:$F$197</definedName>
    <definedName name="Print_Area_Reset">OFFSET(Full_Print,0,0,Last_Row)</definedName>
    <definedName name="_xlnm.Print_Titles" localSheetId="0">BOQ!$48:$49</definedName>
    <definedName name="Prop_2m">#REF!</definedName>
    <definedName name="Pumping_Charge">#REF!</definedName>
    <definedName name="qdwd">#REF!</definedName>
    <definedName name="R_">#REF!</definedName>
    <definedName name="Raaaa">[8]Enquire!#REF!</definedName>
    <definedName name="raj">#REF!</definedName>
    <definedName name="Rajnagar_Marble">#REF!</definedName>
    <definedName name="rare">#REF!</definedName>
    <definedName name="Ratna_A_Border">#REF!</definedName>
    <definedName name="Ratna_A_dark_base">#REF!</definedName>
    <definedName name="Ratna_A_Floor">#REF!</definedName>
    <definedName name="Ratna_A_Highlighter">#REF!</definedName>
    <definedName name="Ratna_A_light_base">#REF!</definedName>
    <definedName name="Ratna_Ezio_C_Border">#REF!</definedName>
    <definedName name="Ratna_Ezio_C_dark_base">#REF!</definedName>
    <definedName name="Ratna_Ezio_C_Floor">#REF!</definedName>
    <definedName name="Ratna_Ezio_C_Highlighter">#REF!</definedName>
    <definedName name="Ratna_Ezio_C_light_base">#REF!</definedName>
    <definedName name="Ratna_Sireno_A_Border">#REF!</definedName>
    <definedName name="Ratna_Sireno_A_dark_base">#REF!</definedName>
    <definedName name="Ratna_Sireno_A_Floor">#REF!</definedName>
    <definedName name="Ratna_Sireno_A_Highlighter">#REF!</definedName>
    <definedName name="Ratna_Sireno_A_light_base">#REF!</definedName>
    <definedName name="RATNAGIRI">#REF!</definedName>
    <definedName name="rd">#REF!</definedName>
    <definedName name="Reflected_interlocking_80">#REF!</definedName>
    <definedName name="rig">#REF!</definedName>
    <definedName name="RMC_Production_cost">#REF!</definedName>
    <definedName name="ROBR">#REF!</definedName>
    <definedName name="ROEX">#REF!</definedName>
    <definedName name="ROHO">#REF!</definedName>
    <definedName name="roll">#REF!</definedName>
    <definedName name="rope">#REF!</definedName>
    <definedName name="S">#REF!</definedName>
    <definedName name="S1_">#REF!</definedName>
    <definedName name="S2_">#REF!</definedName>
    <definedName name="SA">#REF!</definedName>
    <definedName name="Safeda_Balli">#REF!</definedName>
    <definedName name="san">#REF!</definedName>
    <definedName name="Sanitary">#REF!</definedName>
    <definedName name="Scaffolding">#REF!</definedName>
    <definedName name="Sched_Pay">#REF!</definedName>
    <definedName name="Scheduled_Extra_Payments">#REF!</definedName>
    <definedName name="Scheduled_Interest_Rate">#REF!</definedName>
    <definedName name="Scheduled_Monthly_Payment">#REF!</definedName>
    <definedName name="SD">#REF!</definedName>
    <definedName name="sdd">#REF!</definedName>
    <definedName name="Semi">'[4]labour rates'!$C$6</definedName>
    <definedName name="Single_Clip">#REF!</definedName>
    <definedName name="SKBEL">#REF!</definedName>
    <definedName name="Skil">'[4]labour rates'!$C$7</definedName>
    <definedName name="SPR">#REF!</definedName>
    <definedName name="spray">#REF!</definedName>
    <definedName name="srh">#REF!</definedName>
    <definedName name="SRItemTotal">[5]BOQ!#REF!</definedName>
    <definedName name="srp">#REF!</definedName>
    <definedName name="ST">#REF!</definedName>
    <definedName name="Stone_Aggregate_10_mm">#REF!</definedName>
    <definedName name="Stone_Aggregate_20_mm">#REF!</definedName>
    <definedName name="Stone_Aggregate_40_mm">#REF!</definedName>
    <definedName name="Stone_Dust">#REF!</definedName>
    <definedName name="su">'[4]labour rates'!$C$2</definedName>
    <definedName name="SUBHEAD2">#REF!</definedName>
    <definedName name="SUBHEAD3">#REF!</definedName>
    <definedName name="SUBHEAD4">#REF!</definedName>
    <definedName name="SUBHEAD5">#REF!</definedName>
    <definedName name="SUBHEAD6">#REF!</definedName>
    <definedName name="sum_1">#REF!</definedName>
    <definedName name="SUMMAR">#REF!</definedName>
    <definedName name="SUMMARY">#REF!</definedName>
    <definedName name="surf">#REF!</definedName>
    <definedName name="sweep">#REF!</definedName>
    <definedName name="SX">#REF!</definedName>
    <definedName name="system">'[4]labour rates'!$C$5</definedName>
    <definedName name="tank">#REF!</definedName>
    <definedName name="Terminations">#REF!</definedName>
    <definedName name="text">#REF!</definedName>
    <definedName name="tipp">#REF!</definedName>
    <definedName name="To">#REF!</definedName>
    <definedName name="TOR">#REF!</definedName>
    <definedName name="Total_Interest">#REF!</definedName>
    <definedName name="Total_Length__m">#REF!</definedName>
    <definedName name="Total_Pay">#REF!</definedName>
    <definedName name="Total_Payment">Scheduled_Payment+Extra_Payment</definedName>
    <definedName name="tr">#REF!</definedName>
    <definedName name="trans">#REF!</definedName>
    <definedName name="Values_Entered">IF(Loan_Amount*Interest_Rate*Loan_Years*Loan_Start&gt;0,1,0)</definedName>
    <definedName name="vib">#REF!</definedName>
    <definedName name="vibroll">#REF!</definedName>
    <definedName name="Voltage__KV">#REF!</definedName>
    <definedName name="Wall_form_panel">#REF!</definedName>
    <definedName name="Wall_form_panel_1250x400">#REF!</definedName>
    <definedName name="Wall_form_panel_1250x500">#REF!</definedName>
    <definedName name="Water_Proofing_compound">#REF!</definedName>
    <definedName name="WH">#REF!</definedName>
    <definedName name="White_Cement">#REF!</definedName>
    <definedName name="wire">'[4]labour rates'!$C$2</definedName>
    <definedName name="Wires">'[4]labour rates'!$C$3</definedName>
    <definedName name="Y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6" i="5" l="1"/>
  <c r="F105" i="5"/>
  <c r="F92" i="5"/>
  <c r="F61" i="5"/>
  <c r="F63" i="5"/>
  <c r="F99" i="5"/>
  <c r="F100" i="5"/>
  <c r="F101" i="5"/>
  <c r="F103" i="5"/>
  <c r="F104" i="5"/>
  <c r="F107" i="5"/>
  <c r="F108" i="5"/>
  <c r="F93" i="5" l="1"/>
  <c r="F94" i="5"/>
  <c r="F91" i="5"/>
  <c r="F95" i="5"/>
  <c r="F96" i="5"/>
  <c r="F97" i="5"/>
  <c r="F98" i="5"/>
  <c r="F72" i="5"/>
  <c r="F73" i="5"/>
  <c r="F74" i="5"/>
  <c r="F75" i="5"/>
  <c r="F76" i="5"/>
  <c r="F77" i="5"/>
  <c r="F78" i="5"/>
  <c r="F79" i="5"/>
  <c r="F80" i="5"/>
  <c r="F81" i="5"/>
  <c r="F82" i="5"/>
  <c r="F83" i="5"/>
  <c r="F84" i="5"/>
  <c r="F85" i="5"/>
  <c r="F86" i="5"/>
  <c r="F87" i="5"/>
  <c r="F88" i="5"/>
  <c r="F89" i="5"/>
  <c r="F90" i="5"/>
  <c r="F110" i="5"/>
  <c r="F162" i="5" l="1"/>
  <c r="F170" i="5" l="1"/>
  <c r="F156" i="5" l="1"/>
  <c r="F140" i="5" l="1"/>
  <c r="F139" i="5"/>
  <c r="F138" i="5"/>
  <c r="A140" i="5"/>
  <c r="F134" i="5" l="1"/>
  <c r="A134" i="5"/>
  <c r="F133" i="5"/>
  <c r="F132" i="5"/>
  <c r="F160" i="5"/>
  <c r="A160" i="5" l="1"/>
  <c r="A152" i="5"/>
  <c r="A154" i="5" s="1"/>
  <c r="A156" i="5" s="1"/>
  <c r="A65" i="5"/>
  <c r="A128" i="5"/>
  <c r="A130" i="5" s="1"/>
  <c r="A69" i="5" l="1"/>
  <c r="A73" i="5" s="1"/>
  <c r="A75" i="5" s="1"/>
  <c r="A77" i="5" s="1"/>
  <c r="A79" i="5" l="1"/>
  <c r="A81" i="5" s="1"/>
  <c r="A83" i="5" l="1"/>
  <c r="A85" i="5" s="1"/>
  <c r="A87" i="5" s="1"/>
  <c r="A89" i="5" s="1"/>
  <c r="F122" i="5"/>
  <c r="F121" i="5"/>
  <c r="F120" i="5"/>
  <c r="F119" i="5"/>
  <c r="F118" i="5"/>
  <c r="F152" i="5" l="1"/>
  <c r="F153" i="5"/>
  <c r="F154" i="5"/>
  <c r="F155" i="5"/>
  <c r="F158" i="5"/>
  <c r="F159" i="5"/>
  <c r="F65" i="5"/>
  <c r="F67" i="5"/>
  <c r="F69" i="5"/>
  <c r="F70" i="5"/>
  <c r="F130" i="5"/>
  <c r="F131" i="5"/>
  <c r="F124" i="5"/>
  <c r="F125" i="5"/>
  <c r="F126" i="5"/>
  <c r="F127" i="5"/>
  <c r="F128" i="5"/>
  <c r="F129" i="5"/>
  <c r="F60" i="5"/>
  <c r="F146" i="5" l="1"/>
  <c r="F145" i="5"/>
  <c r="F196" i="5" l="1"/>
  <c r="F194" i="5"/>
  <c r="F189" i="5"/>
  <c r="F185" i="5"/>
  <c r="F174" i="5" l="1"/>
  <c r="F168" i="5" l="1"/>
  <c r="F71" i="5" l="1"/>
  <c r="A118" i="5" l="1"/>
  <c r="A120" i="5" s="1"/>
  <c r="A122" i="5" s="1"/>
</calcChain>
</file>

<file path=xl/sharedStrings.xml><?xml version="1.0" encoding="utf-8"?>
<sst xmlns="http://schemas.openxmlformats.org/spreadsheetml/2006/main" count="179" uniqueCount="121">
  <si>
    <t>PREAMBLE</t>
  </si>
  <si>
    <t>The Contractor shall procure and bring Materials/Equipment to the site only on the basis of drawings approved for construction and shop drawings and not on the basis of Bill of Quantities which are approximate only. This also applies to the Contractor’s requisition for Owner supplied materials.</t>
  </si>
  <si>
    <t>The work shall be carried out in conformity with the plumbing drawings and within the requirements of architectural, HVAC, electrical structural and other specialized services drawings.</t>
  </si>
  <si>
    <t>On award of the work, contractor shall submit a schedule of construction in the form of a PERT chart or BAR chart for approval of the Project Manager.</t>
  </si>
  <si>
    <t>110 mm dia</t>
  </si>
  <si>
    <t>The rate for each item of work included in the Schedule of Quantities shall, unless expressly stated otherwise, include cost of:</t>
  </si>
  <si>
    <t>All Equipments, quantities and technical data indicated in this Schedule are for the Contractor's guidance only, these are based on the documents prepared by the services Consultant. This schedule must be read in conjunction with other documents. The Contractor shall be paid for actual quantity of work executed by him in accordance with the approved shop Drawings at the contract rates. Any item inadvertenly missing from schedule of quantities but required for the completion of work, shall be deemed to be included in the rates quoted by the contractor unless and untill scope or design of the work is changed and nothing extra shall be paid.</t>
  </si>
  <si>
    <t>40 mm dia</t>
  </si>
  <si>
    <t>50 mm dia</t>
  </si>
  <si>
    <t>65 mm dia</t>
  </si>
  <si>
    <t>All shop drawings should detail pipe routing and levels, showing location of other services at crossings etc., cable runs, route cable trays and all allied works and must be fully coordinated with other services, before execution of the works.</t>
  </si>
  <si>
    <t>Shop drawings are detailed working drawings coordinated with other trading work, which incorporate the contractor’s details for execution of the work and incorporate equipment manufacturer’s details and dimensions to ensure that the same can be installed in the space provided.</t>
  </si>
  <si>
    <t>All shop drawings will be made on Autocad and coloured prints has to be produced for site work.</t>
  </si>
  <si>
    <t>After the fixtures, equipment and appliances have been installed and commissioned, contractor shall cleanup the same and remove all plaster, paints, stains, stickers and other foreign matter or discoloration leaving the same in a ready to use condition.</t>
  </si>
  <si>
    <t>C.</t>
  </si>
  <si>
    <t>No.</t>
  </si>
  <si>
    <t>B.</t>
  </si>
  <si>
    <t>RM</t>
  </si>
  <si>
    <t>20 mm dia</t>
  </si>
  <si>
    <t>25 mm dia</t>
  </si>
  <si>
    <t>32 mm dia</t>
  </si>
  <si>
    <t>All items of work under this Contract shall be executed strictly to fulfill the requirements laid down under “Basis of Design” in the specifications. Type of equipment, material specification, methods of installation and testing and type of control shall be in accordance with the specifications, approved shop drawings and the relevant Indian Standards, however capacity of each component and their quantities shall be such as to fulfill the above mentioned requirement.</t>
  </si>
  <si>
    <t>The unit rate for all equipment or materials shall include cost in INDIAN RUPEES (INR) for equipment and materials including all taxes and duties and also including forwarding, freight, insurance and transport into Contractor’s store at site, storage, installation, testing, balancing, commissioning and other works required.</t>
  </si>
  <si>
    <t>Item</t>
  </si>
  <si>
    <t>Description</t>
  </si>
  <si>
    <t>Unit</t>
  </si>
  <si>
    <t>Rate</t>
  </si>
  <si>
    <t>Amount</t>
  </si>
  <si>
    <t>Note:</t>
  </si>
  <si>
    <t>i. Detail of Sanitary fixture are for the information of the Contractor, however model / makes of all sanitary fixture shall be selected by Architect / Interior designer / client and the same shall be binding for execution.</t>
  </si>
  <si>
    <t>a. All materials, fixing materials, accessories, appliances tools, plants, equipment, transport, labour and incidentals required in preparation for and in the full and entire execution, testing, balancing, commissioning and completion of work called for in the item and as per Specifications and Drawings.</t>
  </si>
  <si>
    <t>No</t>
  </si>
  <si>
    <t>Set</t>
  </si>
  <si>
    <t>SCHEDULE OF QUANTITIES</t>
  </si>
  <si>
    <t>ii. No additional all fixing cost shall be paid for change in type of sanitary fixture or fitting.</t>
  </si>
  <si>
    <t>iii. Provision of extension piece for final connection of CP fitting shall be supplied and installed by the contractor accordingly (as required).</t>
  </si>
  <si>
    <t>SANITARY FIXTURES &amp; FITTINGS (INSTALLATION ONLY)</t>
  </si>
  <si>
    <t>Qty</t>
  </si>
  <si>
    <t>b. Loading, transporting, unloading, handling/double handling, hoisting to all levels, setting, fitting and fixing in position, protecting, disposal of debris and all other labour necessary in and for the full and entire execution and for the job in accordance with the contract documents, good practice and recognized principles.</t>
  </si>
  <si>
    <t>c. Liabilities, obligations and risks arising out of Conditions of Contract.</t>
  </si>
  <si>
    <t>d. All requirements of Specifications, whether such requirements are mentioned in the item or not. The Specifications and Drawings where available, are to be read as complimentary to and part of the Bill of Quantities and any work called for in one shall be taken as required for all.</t>
  </si>
  <si>
    <t>The contractor shall include for making all the opening in slabs, beams, walls etc. as required for his work. However, the contractor can coordinate with civil work to provide necessary sleeves. All openings shall be closed using water proofing compound or as specified by Project Manager.</t>
  </si>
  <si>
    <t>The contractor shall cooperate with all trades and agencies working on the site. He shall make provision for hangers, sleeves, structural openings and other requirements well in advance to prevent hold up of progress of the construction schedule. All supports to the civil structure shall be provided with anchor fastners.</t>
  </si>
  <si>
    <t>On completion of all works, contractor shall demolish all stores, remove all surplus materials and leave the site in a broom clean condition, failing which the same shall be done by the Project Manager at the Contractor'’ risk and cost. Cost of the cleanup shall be deducted from the contractor’s bills on pro-rata basis in proportion to his contact value.</t>
  </si>
  <si>
    <t>The contractor shall, from time to time, clear away all debris and excess materials accumulated at the site failing which the same shall be done by Project Manager at contractor’s risk and cost and cost of clean up shall be deducted from the contractors prorata bill.</t>
  </si>
  <si>
    <t>On award of the work the contractor shall be issued two (2) Set of consultant’s drawings. The drawings shall be the basis of contractor’s shop drawings.</t>
  </si>
  <si>
    <t>e. In the event of conflict between Bill of Quantities and other documents including the Specifications, the most stringent shall apply. The interpretation of the Architect / Consultant /Project Manager shall be final and binding.</t>
  </si>
  <si>
    <t xml:space="preserve">All rates quoted are inclusive of cutting holes and chases in walls and making good the same with cement mortar of appropriate mix and strength as directed by the Project Manager. Contractor shall provide holes, sleeves, recesses in the masonry work as the work proceeds. </t>
  </si>
  <si>
    <t>A</t>
  </si>
  <si>
    <t>D.</t>
  </si>
  <si>
    <t xml:space="preserve">25 mm dia </t>
  </si>
  <si>
    <t xml:space="preserve">20 mm dia </t>
  </si>
  <si>
    <t>MECHANICAL EQUIPMENTS</t>
  </si>
  <si>
    <t>100x100 mm size P type</t>
  </si>
  <si>
    <t>With common burnt clay F.P.S. (non modular) bricks of class designation 7.5</t>
  </si>
  <si>
    <t>Inside size 90 x 80 cm and 45 cm deep including C.I. cover with frame (light duty) 455 x 610 mm internal dimensions total weight of cover and frame to be not less than 38 kg (weight of cover 23 kg and weight of frame 15 kg)</t>
  </si>
  <si>
    <t>With F.P.S. bricks with class designation 75</t>
  </si>
  <si>
    <t>E.</t>
  </si>
  <si>
    <t>INTERNAL DRAINAGE (SOIL, WASTE, VENT &amp; RAIN WATER)</t>
  </si>
  <si>
    <t xml:space="preserve">INTERNAL DOMESTIC AND FLUSHING WATER SUPPLY </t>
  </si>
  <si>
    <t xml:space="preserve">EXTERNAL DOMESTIC  WATER SUPPLY </t>
  </si>
  <si>
    <t xml:space="preserve">50 mm dia </t>
  </si>
  <si>
    <t>Providing and fixing GI (Galvanized Iron Pipe) water supply pipes with all fittings and accessories</t>
  </si>
  <si>
    <t>F.</t>
  </si>
  <si>
    <t>Supplying fitting fixing of PVC pipes of 6 Kg/ cm 2 (Supreme/ Prince) or other ISI approved including joining, fitting and fixing with clamps etc. as necessary complete at all levels including below G.L as directed and specified.</t>
  </si>
  <si>
    <t>75 mm dia</t>
  </si>
  <si>
    <t>10 litre gyser</t>
  </si>
  <si>
    <t>25 litre gyser</t>
  </si>
  <si>
    <t>30 litre gyser</t>
  </si>
  <si>
    <t>URINAL</t>
  </si>
  <si>
    <t>Providing, fixing, testing and commissioning of automatic flushing systems for urinal to ensure pre-flush &amp; flushing only immediately after use, comprising of all plumbing, electronic and electrical items. CP brass flush pipe with CP brass elbow, CP brass spreader, CP wall flange, infrared photo cells, eyes electrically operated solenoid valve, step down transformer / equipment and any other item required to provide satisfactory functioning. Including necessary wall cutting / chasing and making good, as required.</t>
  </si>
  <si>
    <r>
      <t xml:space="preserve">Providing, fixing, testing and commissioning of white vitreous china large </t>
    </r>
    <r>
      <rPr>
        <sz val="11"/>
        <color indexed="8"/>
        <rFont val="Arial"/>
        <family val="2"/>
      </rPr>
      <t>urinal partition with concealed CI bracket, cutting and making good as required.</t>
    </r>
  </si>
  <si>
    <t>BATHTUB</t>
  </si>
  <si>
    <t>"Providing and fixing/installing an acrylic/fiberglass (or specified material) bathtub of approved size, shape, and make (e.g., 1700 mm × 750 mm), complete with a slip-resistant bottom.Includes single-lever concealed/exposed bath mixer/filler, hand shower set with flexible hose and wall hook, pop-up waste coupling, 40 mm (1.5-inch) PVC/uPVC waste trap, and overflow assembly.Connected to hot and cold water supply lines (CPVC/PPR pipes) and tied into the main greywater/drainage system via a proper P-trap.Work includes jointing, fixing securely with structural support/masonry base, water-tight sealing with silicone sealant, and hydro-testing of all supply and drainage connections to the complete satisfaction of the engineer-in-charge."</t>
  </si>
  <si>
    <t>KITCHEN SINK</t>
  </si>
  <si>
    <t>EXTERNAL SEWERAGE, RAIN-WATER AND DRAINAGE  WORKS</t>
  </si>
  <si>
    <t>Supply, installation, testing, and commissioning of a gyser with all accessories, fittings, valves with complete</t>
  </si>
  <si>
    <t>Receiving, Storing, Fixing, testing and commissioning of white vitreous china wall mounted type European water closet including providing &amp; fixing CP bolts, nuts, CI chair (painted with two coats of enamel paint over a coat of primer) or other hanging arrangements, with C.P. bolts, nuts, supporting arrangements, bakelite / poly propylene seat &amp; cover with CP hinges &amp; rubber buffers, complete with all accessories. Including cutting &amp; making good the walls &amp; floors wherever required.</t>
  </si>
  <si>
    <t>Providing and fixing water closet squatting pan (Indian type W.C. pan ) with 100 mm sand cast Iron P or S trap, 10 litre low level white P.V.C. flushing cistern, including flush pipe, with manuallycontrolled device (handle lever) conforming to IS : 7231, with all fittings and fixtures complete, including cutting and making good the walls and floors wherever required:White Vitreous china Orissa pattern W.C. pan of size 580x440 mm with integral type foot rests</t>
  </si>
  <si>
    <t>Receiving, Storing, Fixing, testing &amp; commissioning of concealed type cistern with dual flush facility comprising of actuator button facia assembly including brass / SS screws and washer complete, providing protection cover over cistern, cutting and making good the walls wherever required.</t>
  </si>
  <si>
    <t xml:space="preserve">Receiving, Storing, Fixing, testing and commissioning of vitreous china white wash basin with CP brass waste assembly, wall flanges and rubber adapters for waste connection complete including CI/MS brackets duly painted, nuts, washers, cutting and making good the walls floors wherever required. </t>
  </si>
  <si>
    <t xml:space="preserve">Providing and fixing CP Brass 32mm size Bottle Trap of approved quality &amp; make and as per the direction of Engineer-in-charge.  
Make :Jaquar                                                                                                                                                                                                                                         </t>
  </si>
  <si>
    <t>Receiving, Storing, Fixing, testing and commissioning of  Health faucet with regulator with flexible pipe 1.0 m long, wall hooked complete as required.</t>
  </si>
  <si>
    <t>Receiving, Storing, Fixing, testing and commissioning of Bib- Cock with regulator with flexible pipe 1.0 m long, wall hooked complete as required.</t>
  </si>
  <si>
    <t>Receiving, Storing, Fixing, testing &amp; commissioning of C.P. brass single lever basin mixer with / without pop up waste system complete as required.</t>
  </si>
  <si>
    <t>Receiving, Storing, Fixing, testing and commissioning of CP brass angle valve with strainer with CP wall flange, Nut and Washer etc. complete as required.</t>
  </si>
  <si>
    <t xml:space="preserve">Receiving, Storing, Fixing, testing and commissioning of CP Braided hoses connection 450 mm long including nuts and washers and making connection to fixtures and fittings complete as required. </t>
  </si>
  <si>
    <t>Receiving, Storing, Fixing Recessed type S.S. toilet paper holder with PVC rawl plug &amp; C.P. brass screw complete as required.</t>
  </si>
  <si>
    <t>Receiving, Storing, Fixing, testing and commissioning of 15mm CP brass single lever overhead concealed bath and shower wall mixer with divertor with 3 way shower head, spout, OH shower with adjustable type arm with wall flange with slip fit connection.</t>
  </si>
  <si>
    <t>Receiving, Storing, fixing of C.P. brass Soap Tray</t>
  </si>
  <si>
    <t xml:space="preserve">Receiving, Storing,  fixing of C.P. brass Towel Rack - 600mm long.
</t>
  </si>
  <si>
    <t>Receiving, Storing, Fixing ABS plastic body liquid soap dispenser with push lever assembly complete with soap refill.</t>
  </si>
  <si>
    <t>Providing, fixing, testing and commissioning of white viterous china large flat back / half stall urinal supported by CI / MS bracket (duly painted with 2 coats of paints over a coat of primer), including CP brass waste with dome type grating, CP cast brass bottle trap with extension piece, wall flanges complete with all accessories. Rate of flow should be with in 1 LPM (Model to be finalised by Architect/Client)</t>
  </si>
  <si>
    <t>Providing &amp; Fixing of P/Floor Trap of 110 mm dia for floor drain of approved brand including cutting and making good the wall/floor wherever required.</t>
  </si>
  <si>
    <t>Providing and fixing CPVC (Chlorinated Poly Vinyl Chloride) water supply pipes with pipe as per CTS SDR - 11 as per IS 15778, at a working pressure of 27.6 Kg/Sqcm. at 27 deg C &amp; 6.8 Kg/Sqcm. at 82 deg C and 65mm above consider CPVC SCH 40 pipes with pipe as per ASTM F 441, using solvent welded CPVC fittings i.e Tees, Elbows, Couplers, Unions, Reducers, brushings etc. including transition fittings cconnection between CPVC &amp; metal pipe / GI) i.e Brass Adaptors (both Male &amp; Female threaded) conforming to ASTM D-2846 (upto 50mm dia.) /ASTM F-438 (65mm &amp; above dia. pipe) with only CPVC solvent cement conforming to ASTM F-493 with fabricated &amp; subsequently hot dip galvanized clamps / structural steel supports as required / directed at site including cutting chasing and fixing the same with cement concrete / cement mortar as required, including painting the exposed pipes with one coat of desired shade of enamel paint. All termination points for installation of faucets shall have brass termination fittings. Installation shall be to the satisfaction of PMC / Consultant / manufacturer of pipes &amp; fittings.(For CW, HW, HWR &amp; FW Supply)</t>
  </si>
  <si>
    <t>Providing &amp; fixing full way lever operated forged brass ball valve of brass body with forged brass hard chrome-plated steel ball tested to a pressure not less than 15 Kg / sq.cm with threaded / flanged joints complete with nuts, bolts, gaskets, washers etc.</t>
  </si>
  <si>
    <t>Providing &amp; fixing CI Butterfly valve (upto 150mm dia with hand lever operation &amp; above with gear box operation). Operating pressure not less than 16 Kg/Sq.cm (PN 16). Including rubber gasket, flanges, nuts, bolts, washers &amp; painting complete as required.</t>
  </si>
  <si>
    <t>Providing and fixing 22 SWG GI sheet cladding over nitrile rubber insulation on hot water pipe work  for the following size pipes.</t>
  </si>
  <si>
    <t>Providing, fixing, jointing, testing and commissioning PVC (Class III) of pressure rating 6.0 kg/sqcm Rain water downtake pipe conforming to IS:4985 cut to required lengths including all necessary fittings and specials. Fixing at wall/ceiling level supported by galvanized steel clamps &amp; hangers etc. as required for proper seismic loading as per the calculations. Making proper connection with cement solvent joint as per BIS / manufacturer. Cutting chases/holes in floors / walls / slab.</t>
  </si>
  <si>
    <t>Providing &amp; fixing sidewall rain water `Khurras' size 100 mm required depth with lead flashing around the pipe with one piece lead sheet of 3 mm thick set on a layer of cold bitumen. Including Heavy duty CI/MS grating as per drawing complete as required.</t>
  </si>
  <si>
    <t>Providing, fixing, jointing, testing and commissioning PVC (Class III) of pressure rating 6.0 kg/sqcm SEWERAGE and RAIN-WATER pipe conforming to IS:4985 cut to required lengths including all necessary fittings and specials. Fixing at wall/ceiling level supported by galvanized steel clamps &amp; hangers etc. as required for proper seismic loading as per the calculations. Making proper connection with cement solvent joint as per BIS / manufacturer. Cutting chases/holes in floors / walls / slab.</t>
  </si>
  <si>
    <r>
      <t xml:space="preserve">Fixing, testing and commissioning of </t>
    </r>
    <r>
      <rPr>
        <sz val="11"/>
        <color theme="1"/>
        <rFont val="Arial"/>
        <family val="2"/>
      </rPr>
      <t>SS sink of single bowl with  single drain board supported by CI / MS  Brackets duly painted, with CP brass waste assembly, wall flanges and rubber adapters for waste connection complete including CP brass chain, rubber plug, nuts, washers, wherever required. (Size and model will be specified by Architect or Client) (Code:C856971, Make: Parryware)</t>
    </r>
  </si>
  <si>
    <r>
      <t>P/Fixing, testing and commissioning of 32 mm dia CP brass</t>
    </r>
    <r>
      <rPr>
        <sz val="11"/>
        <color theme="1"/>
        <rFont val="Arial"/>
        <family val="2"/>
      </rPr>
      <t xml:space="preserve"> waste coupling of approved brand as directed by Engineering Incharge.</t>
    </r>
  </si>
  <si>
    <r>
      <t xml:space="preserve">Fixing, testing and commissioning of C.P. brass wall / counter mounted single lever </t>
    </r>
    <r>
      <rPr>
        <sz val="11"/>
        <rFont val="Arial"/>
        <family val="2"/>
      </rPr>
      <t>Sink Mixer with overhead swinging spout and C.P. wall flange of approved brand complete as required and making good the wall cutting / chasing wherever required.</t>
    </r>
  </si>
  <si>
    <r>
      <t xml:space="preserve">Fixing,testing and commissioning of 40 mm dia </t>
    </r>
    <r>
      <rPr>
        <sz val="11"/>
        <rFont val="Arial"/>
        <family val="2"/>
      </rPr>
      <t>CP brass Bottle Trap and pipe to wall with cp brass flange and rubber adopterfor waste connection for wash basin of approved brand including cutting and making good the wall/floor wherever required.</t>
    </r>
  </si>
  <si>
    <r>
      <t xml:space="preserve">Fixing, testing and commissioning of </t>
    </r>
    <r>
      <rPr>
        <sz val="11"/>
        <rFont val="Arial"/>
        <family val="2"/>
      </rPr>
      <t xml:space="preserve">CP Angle valve with nuts, bolts and washers of approved brand for Sink, Water purifier including cutting and making good the wall/floor wherever required.  
</t>
    </r>
  </si>
  <si>
    <r>
      <t xml:space="preserve">Providing &amp; Fixing beveled </t>
    </r>
    <r>
      <rPr>
        <sz val="11"/>
        <color theme="1"/>
        <rFont val="Arial"/>
        <family val="2"/>
      </rPr>
      <t>edge mirror of superior quality glass 5.5 mm thick (of approved make) with 3mm thick wooden ply of required sizes as per Architect or Client Including wooden beeding around the mirror, wooden clets, C.P brass screws and washer etc. Complete as required as per architect requirement.</t>
    </r>
  </si>
  <si>
    <r>
      <t xml:space="preserve">Supply and installation of  heavy-duty chrome-plated brass </t>
    </r>
    <r>
      <rPr>
        <sz val="11"/>
        <color theme="1"/>
        <rFont val="Arial"/>
        <family val="2"/>
      </rPr>
      <t>hose bib, including integral vacuum breaker, wall flange, connection accessories, and testing, as per technical specifications.</t>
    </r>
  </si>
  <si>
    <r>
      <t>Providing and fixing square-mouth S.W.</t>
    </r>
    <r>
      <rPr>
        <sz val="10.5"/>
        <rFont val="Arial"/>
        <family val="2"/>
      </rPr>
      <t xml:space="preserve"> gully trap grade ‘A’' complete with C.I. grating, brick masonry chamber with water tight C.I. cover with frame of 300x300 mm size (inside) the weight of cover to be not less than 4.50 kg and frame to be not less than 2.70 kg as per standard design:</t>
    </r>
  </si>
  <si>
    <r>
      <t>Constructing brick masonry</t>
    </r>
    <r>
      <rPr>
        <sz val="10.5"/>
        <rFont val="Arial"/>
        <family val="2"/>
      </rPr>
      <t xml:space="preserve"> Manhole cement mortar 1:4 (1 cement: 4 coarse sand) R.C.C. top slab with 1:2:4 mix (1cement: 2 coarse sand: 4 graded stone aggregate 20 mm nominal size), foundation concrete 1:4:8 mix (1cement: 4 coarse sand: 8 graded stone aggregate 40 mm nominal size) inside plastering 12mm thick with cement mortar 1:3 (1 cement: 3 coarse sand) finished with floating coat of neat cement and making necessary channels in cement concrete 1:2:4 (1 cement: 2 coarse sand: 4 graded stone aggregate 20mm nominal size) finished with a floating coat of neat cement complete as per standard design.  </t>
    </r>
  </si>
  <si>
    <r>
      <t>Providing orange colour</t>
    </r>
    <r>
      <rPr>
        <sz val="10.5"/>
        <rFont val="Arial"/>
        <family val="2"/>
      </rPr>
      <t xml:space="preserve"> safety foot rest of minimum 6 mm thick plastic encapsulated as per IS: 10910 on 12 mm dia steel bar conforming to IS : 1786 having minimum cross section as 23 mm x 25 mm and over all minimum length 263 mm and width as 165 mm with minimum 112 mm space between protruded legs having 2 mm tread on top surface by ribbing or chequering besides necessary and adequate anchoring projections on tail    length on 138 mm as per standard drawing and suitable to with stand the bend test and chemical resistance test as per specification and having manufacture's permanent identification mark to be visible even after fixing, including fixing in manholes with 30 x 20 x 15 cm cement concrete block 1:3:6 (1 cement : 3 coarse sand : 6 graded  stone aggregate 20 mm nominal size) complete as per design.</t>
    </r>
  </si>
  <si>
    <r>
      <t xml:space="preserve">Supply, installation, testing, and commissioning of a chrome-plated brass </t>
    </r>
    <r>
      <rPr>
        <sz val="11"/>
        <color rgb="FF2B2A29"/>
        <rFont val="Arial"/>
        <family val="2"/>
      </rPr>
      <t>bathtub mixer with diverter, including a multi-flow hand shower, flexible metallic hose, wall hook, and concealed brass fittings. All complete as per manufacturer's specifications and plumbing standards.</t>
    </r>
  </si>
  <si>
    <r>
      <t xml:space="preserve">The pump shall be selected for performance at best efficiency point.  However, the pump selection shall be suitable for performance with set point @ </t>
    </r>
    <r>
      <rPr>
        <u/>
        <sz val="11"/>
        <rFont val="Arial"/>
        <family val="2"/>
      </rPr>
      <t>+</t>
    </r>
    <r>
      <rPr>
        <sz val="11"/>
        <rFont val="Arial"/>
        <family val="2"/>
      </rPr>
      <t xml:space="preserve"> 20% of the rated head.</t>
    </r>
  </si>
  <si>
    <r>
      <rPr>
        <sz val="11"/>
        <rFont val="Arial"/>
        <family val="2"/>
      </rPr>
      <t xml:space="preserve">Supply, Installation, testing and Commissioning of transfer pump Model  JP 3-42PM head 22meter Flow rate 30LPM for domestic water supply </t>
    </r>
  </si>
  <si>
    <r>
      <rPr>
        <sz val="11"/>
        <rFont val="Arial"/>
        <family val="2"/>
      </rPr>
      <t xml:space="preserve">Supply, Installation, testing and Commissioning of transfer pump Model  JP 3-42PM head 22meter Flow rate 15LPM for flushing water supply </t>
    </r>
  </si>
  <si>
    <r>
      <rPr>
        <sz val="11"/>
        <rFont val="Arial"/>
        <family val="2"/>
      </rPr>
      <t xml:space="preserve">Supply, Installation, testing and Commissioning of transfer pump  for Landscaping </t>
    </r>
  </si>
  <si>
    <r>
      <t xml:space="preserve">Supply, Installation, testing and Commissioning of 4" </t>
    </r>
    <r>
      <rPr>
        <sz val="11"/>
        <rFont val="Arial"/>
        <family val="2"/>
      </rPr>
      <t>house trap with all required accessories and fittings</t>
    </r>
  </si>
  <si>
    <t>Supply, Installation, testing and Commissioning of Solar water Heating System of cap. 500 LPD with Control Panel, interconnecting piping with insulation, Valves, Pressure Gauges, Thermostats etc.</t>
  </si>
  <si>
    <t>Hydraneumatic booster Pumps at terrace  including all fittings, valves, pressuregauge &amp; accessories complete  of capacity- 40LPM Capacity &amp; 17MTR..grundfos CMB with pressure manager-1 model no-CMB-45</t>
  </si>
  <si>
    <r>
      <t xml:space="preserve">Supply, Installation, testing and Commissioning of solar </t>
    </r>
    <r>
      <rPr>
        <sz val="11"/>
        <rFont val="Arial"/>
        <family val="2"/>
      </rPr>
      <t>water Heating System  heating interconnecting piping with insulation, Valves, Pressure Gauges, Thermostats etc.</t>
    </r>
  </si>
  <si>
    <r>
      <t xml:space="preserve">Water Treatment Filter </t>
    </r>
    <r>
      <rPr>
        <sz val="11"/>
        <rFont val="Arial"/>
        <family val="2"/>
      </rPr>
      <t>around 0.250 m3/hr</t>
    </r>
    <r>
      <rPr>
        <sz val="11"/>
        <color rgb="FF00B050"/>
        <rFont val="Arial"/>
        <family val="2"/>
      </rPr>
      <t xml:space="preserve"> </t>
    </r>
    <r>
      <rPr>
        <sz val="11"/>
        <rFont val="Arial"/>
        <family val="2"/>
      </rPr>
      <t>- suitable for 10-12hrs operation including multigrade sand filter( if require activated carbon filter,multigrade filter chlorine dosing pumps, filter feed pumps , ultrafiltration) valves, interconnected piping and accessories.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</si>
</sst>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2" formatCode="_(&quot;$&quot;* #,##0_);_(&quot;$&quot;* \(#,##0\);_(&quot;$&quot;* &quot;-&quot;_);_(@_)"/>
    <numFmt numFmtId="44" formatCode="_(&quot;$&quot;* #,##0.00_);_(&quot;$&quot;* \(#,##0.00\);_(&quot;$&quot;* &quot;-&quot;??_);_(@_)"/>
    <numFmt numFmtId="43" formatCode="_(* #,##0.00_);_(* \(#,##0.00\);_(* &quot;-&quot;??_);_(@_)"/>
    <numFmt numFmtId="164" formatCode="_ * #,##0.00_ ;_ * \-#,##0.00_ ;_ * &quot;-&quot;??_ ;_ @_ "/>
    <numFmt numFmtId="165" formatCode="_-* #,##0.00\ _m_k_-;\-* #,##0.00\ _m_k_-;_-* &quot;-&quot;??\ _m_k_-;_-@_-"/>
    <numFmt numFmtId="166" formatCode="0.0"/>
    <numFmt numFmtId="167" formatCode="0.000"/>
    <numFmt numFmtId="168" formatCode="_-* #,##0.00_-;\-* #,##0.00_-;_-* &quot;-&quot;??_-;_-@_-"/>
    <numFmt numFmtId="169" formatCode="&quot;Rs.&quot;\ #,##0;&quot;Rs.&quot;\ \-#,##0"/>
    <numFmt numFmtId="170" formatCode="_-&quot;€&quot;\ * #,##0.00_-;\-&quot;€&quot;\ * #,##0.00_-;_-&quot;€&quot;\ * &quot;-&quot;??_-;_-@_-"/>
    <numFmt numFmtId="171" formatCode="\ #,##0\/\-"/>
    <numFmt numFmtId="172" formatCode="0.0000"/>
    <numFmt numFmtId="173" formatCode="_-* #,##0_-;\-* #,##0_-;_-* &quot;-&quot;_-;_-@_-"/>
    <numFmt numFmtId="174" formatCode="_ * #,##0_ ;_ * \-#,##0_ ;_ * &quot;-&quot;??_ ;_ @_ "/>
  </numFmts>
  <fonts count="52">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sz val="10"/>
      <name val="Times New Roman"/>
      <family val="1"/>
    </font>
    <font>
      <sz val="10"/>
      <name val="Helv"/>
      <charset val="204"/>
    </font>
    <font>
      <u/>
      <sz val="10"/>
      <color theme="10"/>
      <name val="Arial"/>
      <family val="2"/>
    </font>
    <font>
      <u/>
      <sz val="10"/>
      <color theme="11"/>
      <name val="Arial"/>
      <family val="2"/>
    </font>
    <font>
      <b/>
      <sz val="10"/>
      <name val="Arial"/>
      <family val="2"/>
    </font>
    <font>
      <sz val="12"/>
      <name val="Times New Roman"/>
      <family val="1"/>
    </font>
    <font>
      <b/>
      <u/>
      <sz val="10"/>
      <name val="Arial"/>
      <family val="2"/>
    </font>
    <font>
      <i/>
      <sz val="10"/>
      <name val="Arial"/>
      <family val="2"/>
    </font>
    <font>
      <b/>
      <i/>
      <u/>
      <sz val="10"/>
      <name val="Arial"/>
      <family val="2"/>
    </font>
    <font>
      <sz val="10"/>
      <name val="Arial"/>
      <family val="2"/>
      <charset val="204"/>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1"/>
      <color indexed="8"/>
      <name val="Arial"/>
      <family val="2"/>
    </font>
    <font>
      <sz val="11"/>
      <color indexed="8"/>
      <name val="Corbel"/>
      <family val="2"/>
    </font>
    <font>
      <i/>
      <sz val="11"/>
      <color indexed="23"/>
      <name val="Calibri"/>
      <family val="2"/>
    </font>
    <font>
      <sz val="11"/>
      <color indexed="17"/>
      <name val="Calibri"/>
      <family val="2"/>
    </font>
    <font>
      <b/>
      <sz val="15"/>
      <color indexed="54"/>
      <name val="Calibri"/>
      <family val="2"/>
    </font>
    <font>
      <b/>
      <sz val="15"/>
      <color indexed="56"/>
      <name val="Calibri"/>
      <family val="2"/>
    </font>
    <font>
      <b/>
      <sz val="13"/>
      <color indexed="54"/>
      <name val="Calibri"/>
      <family val="2"/>
    </font>
    <font>
      <b/>
      <sz val="13"/>
      <color indexed="56"/>
      <name val="Calibri"/>
      <family val="2"/>
    </font>
    <font>
      <b/>
      <sz val="11"/>
      <color indexed="54"/>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sz val="11"/>
      <color theme="1"/>
      <name val="Corbel"/>
      <family val="2"/>
    </font>
    <font>
      <b/>
      <sz val="11"/>
      <color indexed="63"/>
      <name val="Calibri"/>
      <family val="2"/>
    </font>
    <font>
      <sz val="10"/>
      <name val="Helv"/>
      <family val="2"/>
    </font>
    <font>
      <sz val="10"/>
      <name val="Helv"/>
    </font>
    <font>
      <b/>
      <sz val="18"/>
      <color indexed="54"/>
      <name val="Cambria"/>
      <family val="2"/>
    </font>
    <font>
      <b/>
      <sz val="18"/>
      <color indexed="56"/>
      <name val="Cambria"/>
      <family val="2"/>
    </font>
    <font>
      <b/>
      <sz val="11"/>
      <color indexed="8"/>
      <name val="Calibri"/>
      <family val="2"/>
    </font>
    <font>
      <sz val="11"/>
      <color indexed="10"/>
      <name val="Calibri"/>
      <family val="2"/>
    </font>
    <font>
      <sz val="11"/>
      <name val="돋움"/>
      <family val="3"/>
      <charset val="129"/>
    </font>
    <font>
      <sz val="12"/>
      <name val="바탕체"/>
      <family val="1"/>
      <charset val="129"/>
    </font>
    <font>
      <sz val="10"/>
      <color rgb="FFFF0000"/>
      <name val="Arial"/>
      <family val="2"/>
    </font>
    <font>
      <sz val="11"/>
      <name val="Calibri"/>
      <family val="2"/>
      <scheme val="minor"/>
    </font>
    <font>
      <sz val="10.5"/>
      <name val="Arial"/>
      <family val="2"/>
    </font>
    <font>
      <sz val="11"/>
      <name val="Arial"/>
      <family val="2"/>
    </font>
    <font>
      <sz val="11"/>
      <color theme="1"/>
      <name val="Arial"/>
      <family val="2"/>
    </font>
    <font>
      <sz val="11"/>
      <color rgb="FF2B2A29"/>
      <name val="Arial"/>
      <family val="2"/>
    </font>
    <font>
      <u/>
      <sz val="11"/>
      <name val="Arial"/>
      <family val="2"/>
    </font>
    <font>
      <sz val="11"/>
      <color rgb="FF00B050"/>
      <name val="Arial"/>
      <family val="2"/>
    </font>
  </fonts>
  <fills count="27">
    <fill>
      <patternFill patternType="none"/>
    </fill>
    <fill>
      <patternFill patternType="gray125"/>
    </fill>
    <fill>
      <patternFill patternType="solid">
        <fgColor indexed="26"/>
      </patternFill>
    </fill>
    <fill>
      <patternFill patternType="solid">
        <fgColor indexed="31"/>
      </patternFill>
    </fill>
    <fill>
      <patternFill patternType="solid">
        <fgColor indexed="45"/>
      </patternFill>
    </fill>
    <fill>
      <patternFill patternType="solid">
        <fgColor indexed="29"/>
      </patternFill>
    </fill>
    <fill>
      <patternFill patternType="solid">
        <fgColor indexed="42"/>
      </patternFill>
    </fill>
    <fill>
      <patternFill patternType="solid">
        <fgColor indexed="46"/>
      </patternFill>
    </fill>
    <fill>
      <patternFill patternType="solid">
        <fgColor indexed="9"/>
      </patternFill>
    </fill>
    <fill>
      <patternFill patternType="solid">
        <fgColor indexed="27"/>
      </patternFill>
    </fill>
    <fill>
      <patternFill patternType="solid">
        <fgColor indexed="47"/>
      </patternFill>
    </fill>
    <fill>
      <patternFill patternType="solid">
        <fgColor indexed="44"/>
      </patternFill>
    </fill>
    <fill>
      <patternFill patternType="solid">
        <fgColor indexed="11"/>
      </patternFill>
    </fill>
    <fill>
      <patternFill patternType="solid">
        <fgColor indexed="43"/>
      </patternFill>
    </fill>
    <fill>
      <patternFill patternType="solid">
        <fgColor indexed="22"/>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60"/>
      </patternFill>
    </fill>
    <fill>
      <patternFill patternType="solid">
        <fgColor indexed="57"/>
      </patternFill>
    </fill>
    <fill>
      <patternFill patternType="solid">
        <fgColor indexed="23"/>
      </patternFill>
    </fill>
    <fill>
      <patternFill patternType="solid">
        <fgColor indexed="55"/>
      </patternFill>
    </fill>
  </fills>
  <borders count="1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3"/>
      </bottom>
      <diagonal/>
    </border>
    <border>
      <left/>
      <right/>
      <top/>
      <bottom style="thick">
        <color indexed="62"/>
      </bottom>
      <diagonal/>
    </border>
    <border>
      <left/>
      <right/>
      <top/>
      <bottom style="thick">
        <color indexed="29"/>
      </bottom>
      <diagonal/>
    </border>
    <border>
      <left/>
      <right/>
      <top/>
      <bottom style="thick">
        <color indexed="22"/>
      </bottom>
      <diagonal/>
    </border>
    <border>
      <left/>
      <right/>
      <top/>
      <bottom style="medium">
        <color indexed="29"/>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style="thin">
        <color indexed="53"/>
      </top>
      <bottom style="double">
        <color indexed="53"/>
      </bottom>
      <diagonal/>
    </border>
    <border>
      <left/>
      <right/>
      <top style="thin">
        <color indexed="62"/>
      </top>
      <bottom style="double">
        <color indexed="62"/>
      </bottom>
      <diagonal/>
    </border>
  </borders>
  <cellStyleXfs count="2264">
    <xf numFmtId="0" fontId="0"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5" fillId="0" borderId="0" applyNumberFormat="0" applyFont="0" applyFill="0" applyBorder="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5" fillId="0" borderId="0"/>
    <xf numFmtId="0" fontId="3" fillId="0" borderId="0"/>
    <xf numFmtId="0" fontId="3" fillId="0" borderId="0"/>
    <xf numFmtId="9" fontId="3" fillId="0" borderId="0" applyFont="0" applyFill="0" applyBorder="0" applyAlignment="0" applyProtection="0"/>
    <xf numFmtId="0" fontId="6"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165" fontId="5" fillId="0" borderId="0" applyNumberFormat="0" applyFont="0" applyFill="0" applyBorder="0" applyProtection="0"/>
    <xf numFmtId="0" fontId="3" fillId="0" borderId="0"/>
    <xf numFmtId="0" fontId="3" fillId="0" borderId="0"/>
    <xf numFmtId="0" fontId="10" fillId="0" borderId="0"/>
    <xf numFmtId="0" fontId="14" fillId="0" borderId="0"/>
    <xf numFmtId="0" fontId="3" fillId="0" borderId="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7"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7"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11"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11"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5"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5"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12"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12"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7"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7"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16"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16"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5"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5"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12"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12"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7"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7"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8"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8"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9"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9"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22"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22"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18"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4"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4"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7"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7"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8"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8"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0"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0"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14"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14"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8" fillId="8" borderId="1"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0" fontId="19" fillId="26" borderId="2" applyNumberFormat="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2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5" fillId="0" borderId="0" applyNumberFormat="0" applyFont="0" applyFill="0" applyBorder="0" applyProtection="0"/>
    <xf numFmtId="43" fontId="3" fillId="0" borderId="0" applyFont="0" applyFill="0" applyBorder="0" applyAlignment="0" applyProtection="0"/>
    <xf numFmtId="169" fontId="5" fillId="0" borderId="0" applyNumberFormat="0" applyFont="0" applyFill="0" applyBorder="0" applyProtection="0"/>
    <xf numFmtId="0" fontId="5" fillId="0" borderId="0" applyNumberFormat="0" applyFont="0" applyFill="0" applyBorder="0" applyProtection="0"/>
    <xf numFmtId="0" fontId="5" fillId="0" borderId="0" applyNumberFormat="0" applyFont="0" applyFill="0" applyBorder="0" applyProtection="0"/>
    <xf numFmtId="0" fontId="5" fillId="0" borderId="0" applyNumberFormat="0" applyFont="0" applyFill="0" applyBorder="0" applyProtection="0"/>
    <xf numFmtId="0" fontId="5" fillId="0" borderId="0" applyNumberFormat="0" applyFont="0" applyFill="0" applyBorder="0" applyProtection="0"/>
    <xf numFmtId="0" fontId="5" fillId="0" borderId="0" applyNumberFormat="0" applyFont="0" applyFill="0" applyBorder="0" applyProtection="0"/>
    <xf numFmtId="0" fontId="5" fillId="0" borderId="0" applyNumberFormat="0" applyFont="0" applyFill="0" applyBorder="0" applyProtection="0"/>
    <xf numFmtId="0" fontId="5" fillId="0" borderId="0" applyNumberFormat="0" applyFont="0" applyFill="0" applyBorder="0" applyProtection="0"/>
    <xf numFmtId="0" fontId="5" fillId="0" borderId="0" applyNumberFormat="0" applyFont="0" applyFill="0" applyBorder="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5" fillId="0" borderId="0" applyNumberFormat="0" applyFont="0" applyFill="0" applyBorder="0" applyProtection="0"/>
    <xf numFmtId="43" fontId="15"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2" fontId="3" fillId="0" borderId="0" applyFont="0" applyFill="0" applyBorder="0" applyAlignment="0" applyProtection="0"/>
    <xf numFmtId="42" fontId="3" fillId="0" borderId="0" applyFont="0" applyFill="0" applyBorder="0" applyAlignment="0" applyProtection="0"/>
    <xf numFmtId="44" fontId="1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15" fillId="0" borderId="0"/>
    <xf numFmtId="0" fontId="15" fillId="0" borderId="0"/>
    <xf numFmtId="0" fontId="15"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5" fillId="0" borderId="4"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5" fillId="0" borderId="4"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7" fillId="0" borderId="6"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7" fillId="0" borderId="6"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9" fillId="0" borderId="8"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9" fillId="0" borderId="8"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0"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0"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1" fillId="13" borderId="1" applyNumberFormat="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vertical="center"/>
    </xf>
    <xf numFmtId="0" fontId="3" fillId="0" borderId="0"/>
    <xf numFmtId="0" fontId="5" fillId="0" borderId="0"/>
    <xf numFmtId="0" fontId="3" fillId="0" borderId="0"/>
    <xf numFmtId="0" fontId="3" fillId="0" borderId="0"/>
    <xf numFmtId="0" fontId="3"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15" fillId="0" borderId="0">
      <alignment vertical="center"/>
    </xf>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2" fontId="5" fillId="0" borderId="0">
      <alignment horizontal="center"/>
    </xf>
    <xf numFmtId="0" fontId="34" fillId="0" borderId="0"/>
    <xf numFmtId="2" fontId="5" fillId="0" borderId="0">
      <alignment horizontal="center"/>
    </xf>
    <xf numFmtId="0" fontId="2"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2" fillId="0" borderId="0"/>
    <xf numFmtId="0" fontId="2" fillId="0" borderId="0"/>
    <xf numFmtId="0" fontId="15" fillId="0" borderId="0"/>
    <xf numFmtId="0" fontId="2" fillId="0" borderId="0"/>
    <xf numFmtId="0" fontId="15" fillId="0" borderId="0"/>
    <xf numFmtId="0" fontId="2" fillId="0" borderId="0"/>
    <xf numFmtId="0" fontId="15" fillId="0" borderId="0"/>
    <xf numFmtId="0" fontId="2" fillId="0" borderId="0"/>
    <xf numFmtId="0" fontId="15" fillId="0" borderId="0"/>
    <xf numFmtId="0" fontId="2" fillId="0" borderId="0"/>
    <xf numFmtId="0" fontId="15" fillId="0" borderId="0"/>
    <xf numFmtId="0" fontId="2" fillId="0" borderId="0"/>
    <xf numFmtId="0" fontId="15" fillId="0" borderId="0"/>
    <xf numFmtId="0" fontId="2" fillId="0" borderId="0"/>
    <xf numFmtId="0" fontId="15" fillId="0" borderId="0"/>
    <xf numFmtId="0" fontId="2" fillId="0" borderId="0"/>
    <xf numFmtId="0" fontId="15" fillId="0" borderId="0"/>
    <xf numFmtId="0" fontId="2" fillId="0" borderId="0"/>
    <xf numFmtId="0" fontId="15" fillId="0" borderId="0"/>
    <xf numFmtId="0" fontId="2" fillId="0" borderId="0"/>
    <xf numFmtId="0" fontId="15" fillId="0" borderId="0"/>
    <xf numFmtId="0" fontId="5" fillId="0" borderId="0"/>
    <xf numFmtId="0" fontId="2" fillId="0" borderId="0"/>
    <xf numFmtId="0" fontId="15" fillId="0" borderId="0"/>
    <xf numFmtId="0" fontId="2" fillId="0" borderId="0"/>
    <xf numFmtId="0" fontId="15" fillId="0" borderId="0"/>
    <xf numFmtId="0" fontId="2" fillId="0" borderId="0"/>
    <xf numFmtId="0" fontId="15" fillId="0" borderId="0"/>
    <xf numFmtId="0" fontId="3" fillId="0" borderId="0"/>
    <xf numFmtId="0" fontId="3" fillId="0" borderId="0"/>
    <xf numFmtId="0" fontId="2" fillId="0" borderId="0"/>
    <xf numFmtId="0" fontId="15" fillId="0" borderId="0"/>
    <xf numFmtId="0" fontId="2" fillId="0" borderId="0"/>
    <xf numFmtId="0" fontId="15" fillId="0" borderId="0"/>
    <xf numFmtId="0" fontId="2" fillId="0" borderId="0"/>
    <xf numFmtId="0" fontId="15" fillId="0" borderId="0"/>
    <xf numFmtId="0" fontId="15" fillId="0" borderId="0">
      <alignment vertical="center"/>
    </xf>
    <xf numFmtId="0" fontId="3" fillId="0" borderId="0"/>
    <xf numFmtId="0" fontId="15" fillId="0" borderId="0"/>
    <xf numFmtId="0" fontId="15" fillId="0" borderId="0"/>
    <xf numFmtId="0" fontId="15" fillId="0" borderId="0"/>
    <xf numFmtId="0" fontId="2" fillId="0" borderId="0"/>
    <xf numFmtId="0" fontId="15" fillId="0" borderId="0"/>
    <xf numFmtId="0" fontId="2" fillId="0" borderId="0"/>
    <xf numFmtId="0" fontId="15" fillId="0" borderId="0"/>
    <xf numFmtId="0" fontId="2" fillId="0" borderId="0"/>
    <xf numFmtId="0" fontId="15" fillId="0" borderId="0"/>
    <xf numFmtId="0" fontId="2" fillId="0" borderId="0"/>
    <xf numFmtId="0" fontId="15" fillId="0" borderId="0"/>
    <xf numFmtId="0" fontId="2" fillId="0" borderId="0"/>
    <xf numFmtId="0" fontId="15" fillId="0" borderId="0"/>
    <xf numFmtId="0" fontId="15" fillId="0" borderId="0"/>
    <xf numFmtId="0" fontId="2" fillId="0" borderId="0"/>
    <xf numFmtId="0" fontId="3" fillId="0" borderId="0"/>
    <xf numFmtId="0" fontId="3" fillId="0" borderId="0"/>
    <xf numFmtId="0" fontId="1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 fillId="2" borderId="10" applyNumberFormat="0" applyFon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14"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14"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0" fontId="35" fillId="8" borderId="11"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1" fontId="10" fillId="0" borderId="0"/>
    <xf numFmtId="0" fontId="36" fillId="0" borderId="0"/>
    <xf numFmtId="172" fontId="14" fillId="0" borderId="0"/>
    <xf numFmtId="14" fontId="6" fillId="0" borderId="0"/>
    <xf numFmtId="0" fontId="37" fillId="0" borderId="0"/>
    <xf numFmtId="43" fontId="15" fillId="2" borderId="12">
      <alignment horizontal="center" wrapText="1"/>
    </xf>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4"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4"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173" fontId="42" fillId="0" borderId="0" applyFont="0" applyFill="0" applyBorder="0" applyAlignment="0" applyProtection="0"/>
    <xf numFmtId="168" fontId="42"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xf numFmtId="0" fontId="1" fillId="0" borderId="0"/>
    <xf numFmtId="0" fontId="3" fillId="0" borderId="0"/>
    <xf numFmtId="0" fontId="3" fillId="0" borderId="0"/>
  </cellStyleXfs>
  <cellXfs count="51">
    <xf numFmtId="0" fontId="0" fillId="0" borderId="0" xfId="0"/>
    <xf numFmtId="0" fontId="3" fillId="0" borderId="0" xfId="0" applyFont="1"/>
    <xf numFmtId="0" fontId="3" fillId="0" borderId="0" xfId="0" applyFont="1" applyAlignment="1">
      <alignment horizontal="center" wrapText="1"/>
    </xf>
    <xf numFmtId="0" fontId="3" fillId="0" borderId="0" xfId="0" applyFont="1" applyAlignment="1">
      <alignment vertical="top"/>
    </xf>
    <xf numFmtId="0" fontId="3" fillId="0" borderId="0" xfId="0" applyFont="1" applyAlignment="1">
      <alignment horizontal="center"/>
    </xf>
    <xf numFmtId="1" fontId="3" fillId="0" borderId="0" xfId="0" applyNumberFormat="1" applyFont="1" applyAlignment="1">
      <alignment horizontal="center"/>
    </xf>
    <xf numFmtId="1" fontId="3" fillId="0" borderId="0" xfId="0" applyNumberFormat="1" applyFont="1" applyAlignment="1">
      <alignment horizontal="right"/>
    </xf>
    <xf numFmtId="0" fontId="3" fillId="0" borderId="0" xfId="0" applyFont="1" applyAlignment="1">
      <alignment horizontal="center" vertical="center"/>
    </xf>
    <xf numFmtId="0" fontId="12" fillId="0" borderId="0" xfId="0" applyFont="1"/>
    <xf numFmtId="0" fontId="3" fillId="0" borderId="0" xfId="0" applyFont="1" applyAlignment="1">
      <alignment vertical="center"/>
    </xf>
    <xf numFmtId="4" fontId="3" fillId="0" borderId="0" xfId="0" applyNumberFormat="1" applyFont="1" applyAlignment="1">
      <alignment horizontal="center" vertical="top" wrapText="1"/>
    </xf>
    <xf numFmtId="4" fontId="3" fillId="0" borderId="0" xfId="0" applyNumberFormat="1" applyFont="1" applyAlignment="1">
      <alignment horizontal="center" vertical="top"/>
    </xf>
    <xf numFmtId="4" fontId="3" fillId="0" borderId="0" xfId="0" applyNumberFormat="1" applyFont="1" applyAlignment="1">
      <alignment horizontal="right" vertical="top"/>
    </xf>
    <xf numFmtId="0" fontId="3" fillId="0" borderId="0" xfId="0" applyFont="1" applyAlignment="1">
      <alignment horizontal="justify" vertical="top"/>
    </xf>
    <xf numFmtId="1" fontId="3" fillId="0" borderId="0" xfId="0" applyNumberFormat="1" applyFont="1" applyAlignment="1" applyProtection="1">
      <alignment horizontal="right" wrapText="1"/>
      <protection locked="0"/>
    </xf>
    <xf numFmtId="0" fontId="44" fillId="0" borderId="0" xfId="16" applyFont="1" applyAlignment="1">
      <alignment horizontal="center" wrapText="1"/>
    </xf>
    <xf numFmtId="1" fontId="12" fillId="0" borderId="0" xfId="0" applyNumberFormat="1" applyFont="1" applyAlignment="1">
      <alignment horizontal="right"/>
    </xf>
    <xf numFmtId="0" fontId="12" fillId="0" borderId="0" xfId="0" applyFont="1" applyAlignment="1">
      <alignment horizontal="center" vertical="center"/>
    </xf>
    <xf numFmtId="0" fontId="9" fillId="0" borderId="0" xfId="16" applyFont="1" applyAlignment="1">
      <alignment horizontal="center" vertical="center" wrapText="1"/>
    </xf>
    <xf numFmtId="0" fontId="45" fillId="0" borderId="0" xfId="0" applyFont="1" applyAlignment="1">
      <alignment horizontal="justify" vertical="top" wrapText="1"/>
    </xf>
    <xf numFmtId="0" fontId="9" fillId="0" borderId="12" xfId="0" applyFont="1" applyBorder="1" applyAlignment="1">
      <alignment horizontal="center" vertical="center" wrapText="1"/>
    </xf>
    <xf numFmtId="0" fontId="11" fillId="0" borderId="12" xfId="0" applyFont="1" applyBorder="1" applyAlignment="1">
      <alignment horizontal="justify" vertical="top" wrapText="1"/>
    </xf>
    <xf numFmtId="0" fontId="3" fillId="0" borderId="12" xfId="0" applyFont="1" applyBorder="1" applyAlignment="1">
      <alignment horizontal="center" vertical="center" wrapText="1"/>
    </xf>
    <xf numFmtId="1" fontId="3" fillId="0" borderId="12" xfId="0" applyNumberFormat="1" applyFont="1" applyBorder="1" applyAlignment="1">
      <alignment horizontal="center" vertical="center" wrapText="1"/>
    </xf>
    <xf numFmtId="0" fontId="3" fillId="0" borderId="12" xfId="0" applyFont="1" applyBorder="1" applyAlignment="1">
      <alignment horizontal="center" vertical="center"/>
    </xf>
    <xf numFmtId="0" fontId="3" fillId="0" borderId="12" xfId="0" applyFont="1" applyBorder="1" applyAlignment="1">
      <alignment horizontal="justify" vertical="top"/>
    </xf>
    <xf numFmtId="1" fontId="3" fillId="0" borderId="12" xfId="0" applyNumberFormat="1" applyFont="1" applyBorder="1" applyAlignment="1">
      <alignment horizontal="center" vertical="center"/>
    </xf>
    <xf numFmtId="0" fontId="12" fillId="0" borderId="12" xfId="0" applyFont="1" applyBorder="1" applyAlignment="1">
      <alignment horizontal="center" vertical="center"/>
    </xf>
    <xf numFmtId="0" fontId="13" fillId="0" borderId="12" xfId="0" applyFont="1" applyBorder="1" applyAlignment="1">
      <alignment horizontal="justify" vertical="top" wrapText="1"/>
    </xf>
    <xf numFmtId="0" fontId="12" fillId="0" borderId="12" xfId="0" applyFont="1" applyBorder="1" applyAlignment="1">
      <alignment horizontal="center" vertical="center" wrapText="1"/>
    </xf>
    <xf numFmtId="0" fontId="12" fillId="0" borderId="12" xfId="0" applyFont="1" applyBorder="1" applyAlignment="1">
      <alignment horizontal="justify" vertical="top" wrapText="1"/>
    </xf>
    <xf numFmtId="1" fontId="3" fillId="0" borderId="12" xfId="0" applyNumberFormat="1" applyFont="1" applyBorder="1" applyAlignment="1" applyProtection="1">
      <alignment horizontal="center" vertical="center"/>
      <protection locked="0"/>
    </xf>
    <xf numFmtId="1" fontId="3" fillId="0" borderId="12" xfId="0" applyNumberFormat="1" applyFont="1" applyBorder="1" applyAlignment="1" applyProtection="1">
      <alignment horizontal="center" vertical="center" wrapText="1"/>
      <protection locked="0"/>
    </xf>
    <xf numFmtId="0" fontId="3" fillId="0" borderId="12" xfId="0" applyFont="1" applyBorder="1" applyAlignment="1">
      <alignment horizontal="justify" vertical="top" wrapText="1"/>
    </xf>
    <xf numFmtId="0" fontId="46" fillId="0" borderId="12" xfId="13" applyFont="1" applyBorder="1" applyAlignment="1">
      <alignment horizontal="justify" vertical="top" wrapText="1"/>
    </xf>
    <xf numFmtId="0" fontId="46" fillId="0" borderId="12" xfId="0" applyFont="1" applyBorder="1" applyAlignment="1">
      <alignment horizontal="justify" vertical="top" wrapText="1"/>
    </xf>
    <xf numFmtId="1" fontId="3" fillId="0" borderId="12" xfId="0" applyNumberFormat="1" applyFont="1" applyBorder="1" applyAlignment="1">
      <alignment horizontal="justify" vertical="top" wrapText="1"/>
    </xf>
    <xf numFmtId="0" fontId="11" fillId="0" borderId="12" xfId="0" applyFont="1" applyBorder="1" applyAlignment="1">
      <alignment horizontal="center" vertical="center" wrapText="1"/>
    </xf>
    <xf numFmtId="0" fontId="9" fillId="0" borderId="12" xfId="16" applyFont="1" applyBorder="1" applyAlignment="1">
      <alignment horizontal="center" vertical="center" wrapText="1"/>
    </xf>
    <xf numFmtId="0" fontId="44" fillId="0" borderId="12" xfId="16" applyFont="1" applyBorder="1" applyAlignment="1">
      <alignment horizontal="center" vertical="center" wrapText="1"/>
    </xf>
    <xf numFmtId="0" fontId="3" fillId="0" borderId="12" xfId="16" applyBorder="1" applyAlignment="1">
      <alignment horizontal="center" vertical="center" wrapText="1"/>
    </xf>
    <xf numFmtId="0" fontId="45" fillId="0" borderId="12" xfId="0" applyFont="1" applyBorder="1" applyAlignment="1">
      <alignment horizontal="center" vertical="center" wrapText="1"/>
    </xf>
    <xf numFmtId="174" fontId="45" fillId="0" borderId="12" xfId="1" applyNumberFormat="1" applyFont="1" applyFill="1" applyBorder="1" applyAlignment="1">
      <alignment horizontal="center" vertical="center" wrapText="1"/>
    </xf>
    <xf numFmtId="1" fontId="9" fillId="0" borderId="12" xfId="0" applyNumberFormat="1" applyFont="1" applyBorder="1" applyAlignment="1">
      <alignment horizontal="center" vertical="center" wrapText="1"/>
    </xf>
    <xf numFmtId="0" fontId="9" fillId="0" borderId="12" xfId="0" applyFont="1" applyBorder="1" applyAlignment="1">
      <alignment horizontal="center" vertical="top" wrapText="1"/>
    </xf>
    <xf numFmtId="0" fontId="3" fillId="0" borderId="0" xfId="0" applyFont="1" applyAlignment="1">
      <alignment horizontal="justify" vertical="top"/>
    </xf>
    <xf numFmtId="0" fontId="11" fillId="0" borderId="0" xfId="0" applyFont="1" applyAlignment="1">
      <alignment horizontal="left"/>
    </xf>
    <xf numFmtId="0" fontId="3" fillId="0" borderId="0" xfId="0" applyFont="1" applyAlignment="1">
      <alignment horizontal="justify" vertical="top" wrapText="1"/>
    </xf>
    <xf numFmtId="0" fontId="12" fillId="0" borderId="0" xfId="0" applyFont="1" applyAlignment="1">
      <alignment horizontal="justify" vertical="top"/>
    </xf>
    <xf numFmtId="0" fontId="11" fillId="0" borderId="0" xfId="0" applyFont="1" applyAlignment="1">
      <alignment horizontal="center" vertical="center"/>
    </xf>
    <xf numFmtId="0" fontId="12" fillId="0" borderId="0" xfId="0" applyFont="1" applyAlignment="1">
      <alignment horizontal="justify" vertical="top" wrapText="1"/>
    </xf>
  </cellXfs>
  <cellStyles count="2264">
    <cellStyle name=" 1" xfId="84" xr:uid="{00000000-0005-0000-0000-000000000000}"/>
    <cellStyle name="_Rate Analysis for Lifts" xfId="85" xr:uid="{00000000-0005-0000-0000-000001000000}"/>
    <cellStyle name="0,0_x000d__x000a_NA_x000d__x000a_" xfId="86" xr:uid="{00000000-0005-0000-0000-000002000000}"/>
    <cellStyle name="20% - Accent1 10" xfId="87" xr:uid="{00000000-0005-0000-0000-000003000000}"/>
    <cellStyle name="20% - Accent1 10 2" xfId="88" xr:uid="{00000000-0005-0000-0000-000004000000}"/>
    <cellStyle name="20% - Accent1 11" xfId="89" xr:uid="{00000000-0005-0000-0000-000005000000}"/>
    <cellStyle name="20% - Accent1 11 2" xfId="90" xr:uid="{00000000-0005-0000-0000-000006000000}"/>
    <cellStyle name="20% - Accent1 12" xfId="91" xr:uid="{00000000-0005-0000-0000-000007000000}"/>
    <cellStyle name="20% - Accent1 12 2" xfId="92" xr:uid="{00000000-0005-0000-0000-000008000000}"/>
    <cellStyle name="20% - Accent1 13" xfId="93" xr:uid="{00000000-0005-0000-0000-000009000000}"/>
    <cellStyle name="20% - Accent1 13 2" xfId="94" xr:uid="{00000000-0005-0000-0000-00000A000000}"/>
    <cellStyle name="20% - Accent1 14" xfId="95" xr:uid="{00000000-0005-0000-0000-00000B000000}"/>
    <cellStyle name="20% - Accent1 14 2" xfId="96" xr:uid="{00000000-0005-0000-0000-00000C000000}"/>
    <cellStyle name="20% - Accent1 15" xfId="97" xr:uid="{00000000-0005-0000-0000-00000D000000}"/>
    <cellStyle name="20% - Accent1 15 2" xfId="98" xr:uid="{00000000-0005-0000-0000-00000E000000}"/>
    <cellStyle name="20% - Accent1 16" xfId="99" xr:uid="{00000000-0005-0000-0000-00000F000000}"/>
    <cellStyle name="20% - Accent1 16 2" xfId="100" xr:uid="{00000000-0005-0000-0000-000010000000}"/>
    <cellStyle name="20% - Accent1 17" xfId="101" xr:uid="{00000000-0005-0000-0000-000011000000}"/>
    <cellStyle name="20% - Accent1 17 2" xfId="102" xr:uid="{00000000-0005-0000-0000-000012000000}"/>
    <cellStyle name="20% - Accent1 18" xfId="103" xr:uid="{00000000-0005-0000-0000-000013000000}"/>
    <cellStyle name="20% - Accent1 18 2" xfId="104" xr:uid="{00000000-0005-0000-0000-000014000000}"/>
    <cellStyle name="20% - Accent1 19" xfId="105" xr:uid="{00000000-0005-0000-0000-000015000000}"/>
    <cellStyle name="20% - Accent1 2" xfId="106" xr:uid="{00000000-0005-0000-0000-000016000000}"/>
    <cellStyle name="20% - Accent1 2 2" xfId="107" xr:uid="{00000000-0005-0000-0000-000017000000}"/>
    <cellStyle name="20% - Accent1 20" xfId="108" xr:uid="{00000000-0005-0000-0000-000018000000}"/>
    <cellStyle name="20% - Accent1 21" xfId="109" xr:uid="{00000000-0005-0000-0000-000019000000}"/>
    <cellStyle name="20% - Accent1 22" xfId="110" xr:uid="{00000000-0005-0000-0000-00001A000000}"/>
    <cellStyle name="20% - Accent1 23" xfId="111" xr:uid="{00000000-0005-0000-0000-00001B000000}"/>
    <cellStyle name="20% - Accent1 24" xfId="112" xr:uid="{00000000-0005-0000-0000-00001C000000}"/>
    <cellStyle name="20% - Accent1 25" xfId="113" xr:uid="{00000000-0005-0000-0000-00001D000000}"/>
    <cellStyle name="20% - Accent1 3" xfId="114" xr:uid="{00000000-0005-0000-0000-00001E000000}"/>
    <cellStyle name="20% - Accent1 3 2" xfId="115" xr:uid="{00000000-0005-0000-0000-00001F000000}"/>
    <cellStyle name="20% - Accent1 4" xfId="116" xr:uid="{00000000-0005-0000-0000-000020000000}"/>
    <cellStyle name="20% - Accent1 4 2" xfId="117" xr:uid="{00000000-0005-0000-0000-000021000000}"/>
    <cellStyle name="20% - Accent1 5" xfId="118" xr:uid="{00000000-0005-0000-0000-000022000000}"/>
    <cellStyle name="20% - Accent1 5 2" xfId="119" xr:uid="{00000000-0005-0000-0000-000023000000}"/>
    <cellStyle name="20% - Accent1 6" xfId="120" xr:uid="{00000000-0005-0000-0000-000024000000}"/>
    <cellStyle name="20% - Accent1 6 2" xfId="121" xr:uid="{00000000-0005-0000-0000-000025000000}"/>
    <cellStyle name="20% - Accent1 7" xfId="122" xr:uid="{00000000-0005-0000-0000-000026000000}"/>
    <cellStyle name="20% - Accent1 7 2" xfId="123" xr:uid="{00000000-0005-0000-0000-000027000000}"/>
    <cellStyle name="20% - Accent1 8" xfId="124" xr:uid="{00000000-0005-0000-0000-000028000000}"/>
    <cellStyle name="20% - Accent1 8 2" xfId="125" xr:uid="{00000000-0005-0000-0000-000029000000}"/>
    <cellStyle name="20% - Accent1 9" xfId="126" xr:uid="{00000000-0005-0000-0000-00002A000000}"/>
    <cellStyle name="20% - Accent1 9 2" xfId="127" xr:uid="{00000000-0005-0000-0000-00002B000000}"/>
    <cellStyle name="20% - Accent2 10" xfId="128" xr:uid="{00000000-0005-0000-0000-00002C000000}"/>
    <cellStyle name="20% - Accent2 10 2" xfId="129" xr:uid="{00000000-0005-0000-0000-00002D000000}"/>
    <cellStyle name="20% - Accent2 11" xfId="130" xr:uid="{00000000-0005-0000-0000-00002E000000}"/>
    <cellStyle name="20% - Accent2 11 2" xfId="131" xr:uid="{00000000-0005-0000-0000-00002F000000}"/>
    <cellStyle name="20% - Accent2 12" xfId="132" xr:uid="{00000000-0005-0000-0000-000030000000}"/>
    <cellStyle name="20% - Accent2 12 2" xfId="133" xr:uid="{00000000-0005-0000-0000-000031000000}"/>
    <cellStyle name="20% - Accent2 13" xfId="134" xr:uid="{00000000-0005-0000-0000-000032000000}"/>
    <cellStyle name="20% - Accent2 13 2" xfId="135" xr:uid="{00000000-0005-0000-0000-000033000000}"/>
    <cellStyle name="20% - Accent2 14" xfId="136" xr:uid="{00000000-0005-0000-0000-000034000000}"/>
    <cellStyle name="20% - Accent2 14 2" xfId="137" xr:uid="{00000000-0005-0000-0000-000035000000}"/>
    <cellStyle name="20% - Accent2 15" xfId="138" xr:uid="{00000000-0005-0000-0000-000036000000}"/>
    <cellStyle name="20% - Accent2 15 2" xfId="139" xr:uid="{00000000-0005-0000-0000-000037000000}"/>
    <cellStyle name="20% - Accent2 16" xfId="140" xr:uid="{00000000-0005-0000-0000-000038000000}"/>
    <cellStyle name="20% - Accent2 16 2" xfId="141" xr:uid="{00000000-0005-0000-0000-000039000000}"/>
    <cellStyle name="20% - Accent2 17" xfId="142" xr:uid="{00000000-0005-0000-0000-00003A000000}"/>
    <cellStyle name="20% - Accent2 17 2" xfId="143" xr:uid="{00000000-0005-0000-0000-00003B000000}"/>
    <cellStyle name="20% - Accent2 18" xfId="144" xr:uid="{00000000-0005-0000-0000-00003C000000}"/>
    <cellStyle name="20% - Accent2 18 2" xfId="145" xr:uid="{00000000-0005-0000-0000-00003D000000}"/>
    <cellStyle name="20% - Accent2 19" xfId="146" xr:uid="{00000000-0005-0000-0000-00003E000000}"/>
    <cellStyle name="20% - Accent2 2" xfId="147" xr:uid="{00000000-0005-0000-0000-00003F000000}"/>
    <cellStyle name="20% - Accent2 2 2" xfId="148" xr:uid="{00000000-0005-0000-0000-000040000000}"/>
    <cellStyle name="20% - Accent2 20" xfId="149" xr:uid="{00000000-0005-0000-0000-000041000000}"/>
    <cellStyle name="20% - Accent2 21" xfId="150" xr:uid="{00000000-0005-0000-0000-000042000000}"/>
    <cellStyle name="20% - Accent2 22" xfId="151" xr:uid="{00000000-0005-0000-0000-000043000000}"/>
    <cellStyle name="20% - Accent2 23" xfId="152" xr:uid="{00000000-0005-0000-0000-000044000000}"/>
    <cellStyle name="20% - Accent2 24" xfId="153" xr:uid="{00000000-0005-0000-0000-000045000000}"/>
    <cellStyle name="20% - Accent2 25" xfId="154" xr:uid="{00000000-0005-0000-0000-000046000000}"/>
    <cellStyle name="20% - Accent2 3" xfId="155" xr:uid="{00000000-0005-0000-0000-000047000000}"/>
    <cellStyle name="20% - Accent2 3 2" xfId="156" xr:uid="{00000000-0005-0000-0000-000048000000}"/>
    <cellStyle name="20% - Accent2 4" xfId="157" xr:uid="{00000000-0005-0000-0000-000049000000}"/>
    <cellStyle name="20% - Accent2 4 2" xfId="158" xr:uid="{00000000-0005-0000-0000-00004A000000}"/>
    <cellStyle name="20% - Accent2 5" xfId="159" xr:uid="{00000000-0005-0000-0000-00004B000000}"/>
    <cellStyle name="20% - Accent2 5 2" xfId="160" xr:uid="{00000000-0005-0000-0000-00004C000000}"/>
    <cellStyle name="20% - Accent2 6" xfId="161" xr:uid="{00000000-0005-0000-0000-00004D000000}"/>
    <cellStyle name="20% - Accent2 6 2" xfId="162" xr:uid="{00000000-0005-0000-0000-00004E000000}"/>
    <cellStyle name="20% - Accent2 7" xfId="163" xr:uid="{00000000-0005-0000-0000-00004F000000}"/>
    <cellStyle name="20% - Accent2 7 2" xfId="164" xr:uid="{00000000-0005-0000-0000-000050000000}"/>
    <cellStyle name="20% - Accent2 8" xfId="165" xr:uid="{00000000-0005-0000-0000-000051000000}"/>
    <cellStyle name="20% - Accent2 8 2" xfId="166" xr:uid="{00000000-0005-0000-0000-000052000000}"/>
    <cellStyle name="20% - Accent2 9" xfId="167" xr:uid="{00000000-0005-0000-0000-000053000000}"/>
    <cellStyle name="20% - Accent2 9 2" xfId="168" xr:uid="{00000000-0005-0000-0000-000054000000}"/>
    <cellStyle name="20% - Accent3 10" xfId="169" xr:uid="{00000000-0005-0000-0000-000055000000}"/>
    <cellStyle name="20% - Accent3 10 2" xfId="170" xr:uid="{00000000-0005-0000-0000-000056000000}"/>
    <cellStyle name="20% - Accent3 11" xfId="171" xr:uid="{00000000-0005-0000-0000-000057000000}"/>
    <cellStyle name="20% - Accent3 11 2" xfId="172" xr:uid="{00000000-0005-0000-0000-000058000000}"/>
    <cellStyle name="20% - Accent3 12" xfId="173" xr:uid="{00000000-0005-0000-0000-000059000000}"/>
    <cellStyle name="20% - Accent3 12 2" xfId="174" xr:uid="{00000000-0005-0000-0000-00005A000000}"/>
    <cellStyle name="20% - Accent3 13" xfId="175" xr:uid="{00000000-0005-0000-0000-00005B000000}"/>
    <cellStyle name="20% - Accent3 13 2" xfId="176" xr:uid="{00000000-0005-0000-0000-00005C000000}"/>
    <cellStyle name="20% - Accent3 14" xfId="177" xr:uid="{00000000-0005-0000-0000-00005D000000}"/>
    <cellStyle name="20% - Accent3 14 2" xfId="178" xr:uid="{00000000-0005-0000-0000-00005E000000}"/>
    <cellStyle name="20% - Accent3 15" xfId="179" xr:uid="{00000000-0005-0000-0000-00005F000000}"/>
    <cellStyle name="20% - Accent3 15 2" xfId="180" xr:uid="{00000000-0005-0000-0000-000060000000}"/>
    <cellStyle name="20% - Accent3 16" xfId="181" xr:uid="{00000000-0005-0000-0000-000061000000}"/>
    <cellStyle name="20% - Accent3 16 2" xfId="182" xr:uid="{00000000-0005-0000-0000-000062000000}"/>
    <cellStyle name="20% - Accent3 17" xfId="183" xr:uid="{00000000-0005-0000-0000-000063000000}"/>
    <cellStyle name="20% - Accent3 17 2" xfId="184" xr:uid="{00000000-0005-0000-0000-000064000000}"/>
    <cellStyle name="20% - Accent3 18" xfId="185" xr:uid="{00000000-0005-0000-0000-000065000000}"/>
    <cellStyle name="20% - Accent3 18 2" xfId="186" xr:uid="{00000000-0005-0000-0000-000066000000}"/>
    <cellStyle name="20% - Accent3 19" xfId="187" xr:uid="{00000000-0005-0000-0000-000067000000}"/>
    <cellStyle name="20% - Accent3 2" xfId="188" xr:uid="{00000000-0005-0000-0000-000068000000}"/>
    <cellStyle name="20% - Accent3 2 2" xfId="189" xr:uid="{00000000-0005-0000-0000-000069000000}"/>
    <cellStyle name="20% - Accent3 20" xfId="190" xr:uid="{00000000-0005-0000-0000-00006A000000}"/>
    <cellStyle name="20% - Accent3 21" xfId="191" xr:uid="{00000000-0005-0000-0000-00006B000000}"/>
    <cellStyle name="20% - Accent3 22" xfId="192" xr:uid="{00000000-0005-0000-0000-00006C000000}"/>
    <cellStyle name="20% - Accent3 23" xfId="193" xr:uid="{00000000-0005-0000-0000-00006D000000}"/>
    <cellStyle name="20% - Accent3 24" xfId="194" xr:uid="{00000000-0005-0000-0000-00006E000000}"/>
    <cellStyle name="20% - Accent3 25" xfId="195" xr:uid="{00000000-0005-0000-0000-00006F000000}"/>
    <cellStyle name="20% - Accent3 3" xfId="196" xr:uid="{00000000-0005-0000-0000-000070000000}"/>
    <cellStyle name="20% - Accent3 3 2" xfId="197" xr:uid="{00000000-0005-0000-0000-000071000000}"/>
    <cellStyle name="20% - Accent3 4" xfId="198" xr:uid="{00000000-0005-0000-0000-000072000000}"/>
    <cellStyle name="20% - Accent3 4 2" xfId="199" xr:uid="{00000000-0005-0000-0000-000073000000}"/>
    <cellStyle name="20% - Accent3 5" xfId="200" xr:uid="{00000000-0005-0000-0000-000074000000}"/>
    <cellStyle name="20% - Accent3 5 2" xfId="201" xr:uid="{00000000-0005-0000-0000-000075000000}"/>
    <cellStyle name="20% - Accent3 6" xfId="202" xr:uid="{00000000-0005-0000-0000-000076000000}"/>
    <cellStyle name="20% - Accent3 6 2" xfId="203" xr:uid="{00000000-0005-0000-0000-000077000000}"/>
    <cellStyle name="20% - Accent3 7" xfId="204" xr:uid="{00000000-0005-0000-0000-000078000000}"/>
    <cellStyle name="20% - Accent3 7 2" xfId="205" xr:uid="{00000000-0005-0000-0000-000079000000}"/>
    <cellStyle name="20% - Accent3 8" xfId="206" xr:uid="{00000000-0005-0000-0000-00007A000000}"/>
    <cellStyle name="20% - Accent3 8 2" xfId="207" xr:uid="{00000000-0005-0000-0000-00007B000000}"/>
    <cellStyle name="20% - Accent3 9" xfId="208" xr:uid="{00000000-0005-0000-0000-00007C000000}"/>
    <cellStyle name="20% - Accent3 9 2" xfId="209" xr:uid="{00000000-0005-0000-0000-00007D000000}"/>
    <cellStyle name="20% - Accent4 10" xfId="210" xr:uid="{00000000-0005-0000-0000-00007E000000}"/>
    <cellStyle name="20% - Accent4 10 2" xfId="211" xr:uid="{00000000-0005-0000-0000-00007F000000}"/>
    <cellStyle name="20% - Accent4 11" xfId="212" xr:uid="{00000000-0005-0000-0000-000080000000}"/>
    <cellStyle name="20% - Accent4 11 2" xfId="213" xr:uid="{00000000-0005-0000-0000-000081000000}"/>
    <cellStyle name="20% - Accent4 12" xfId="214" xr:uid="{00000000-0005-0000-0000-000082000000}"/>
    <cellStyle name="20% - Accent4 12 2" xfId="215" xr:uid="{00000000-0005-0000-0000-000083000000}"/>
    <cellStyle name="20% - Accent4 13" xfId="216" xr:uid="{00000000-0005-0000-0000-000084000000}"/>
    <cellStyle name="20% - Accent4 13 2" xfId="217" xr:uid="{00000000-0005-0000-0000-000085000000}"/>
    <cellStyle name="20% - Accent4 14" xfId="218" xr:uid="{00000000-0005-0000-0000-000086000000}"/>
    <cellStyle name="20% - Accent4 14 2" xfId="219" xr:uid="{00000000-0005-0000-0000-000087000000}"/>
    <cellStyle name="20% - Accent4 15" xfId="220" xr:uid="{00000000-0005-0000-0000-000088000000}"/>
    <cellStyle name="20% - Accent4 15 2" xfId="221" xr:uid="{00000000-0005-0000-0000-000089000000}"/>
    <cellStyle name="20% - Accent4 16" xfId="222" xr:uid="{00000000-0005-0000-0000-00008A000000}"/>
    <cellStyle name="20% - Accent4 16 2" xfId="223" xr:uid="{00000000-0005-0000-0000-00008B000000}"/>
    <cellStyle name="20% - Accent4 17" xfId="224" xr:uid="{00000000-0005-0000-0000-00008C000000}"/>
    <cellStyle name="20% - Accent4 17 2" xfId="225" xr:uid="{00000000-0005-0000-0000-00008D000000}"/>
    <cellStyle name="20% - Accent4 18" xfId="226" xr:uid="{00000000-0005-0000-0000-00008E000000}"/>
    <cellStyle name="20% - Accent4 18 2" xfId="227" xr:uid="{00000000-0005-0000-0000-00008F000000}"/>
    <cellStyle name="20% - Accent4 19" xfId="228" xr:uid="{00000000-0005-0000-0000-000090000000}"/>
    <cellStyle name="20% - Accent4 2" xfId="229" xr:uid="{00000000-0005-0000-0000-000091000000}"/>
    <cellStyle name="20% - Accent4 2 2" xfId="230" xr:uid="{00000000-0005-0000-0000-000092000000}"/>
    <cellStyle name="20% - Accent4 20" xfId="231" xr:uid="{00000000-0005-0000-0000-000093000000}"/>
    <cellStyle name="20% - Accent4 21" xfId="232" xr:uid="{00000000-0005-0000-0000-000094000000}"/>
    <cellStyle name="20% - Accent4 22" xfId="233" xr:uid="{00000000-0005-0000-0000-000095000000}"/>
    <cellStyle name="20% - Accent4 23" xfId="234" xr:uid="{00000000-0005-0000-0000-000096000000}"/>
    <cellStyle name="20% - Accent4 24" xfId="235" xr:uid="{00000000-0005-0000-0000-000097000000}"/>
    <cellStyle name="20% - Accent4 25" xfId="236" xr:uid="{00000000-0005-0000-0000-000098000000}"/>
    <cellStyle name="20% - Accent4 3" xfId="237" xr:uid="{00000000-0005-0000-0000-000099000000}"/>
    <cellStyle name="20% - Accent4 3 2" xfId="238" xr:uid="{00000000-0005-0000-0000-00009A000000}"/>
    <cellStyle name="20% - Accent4 4" xfId="239" xr:uid="{00000000-0005-0000-0000-00009B000000}"/>
    <cellStyle name="20% - Accent4 4 2" xfId="240" xr:uid="{00000000-0005-0000-0000-00009C000000}"/>
    <cellStyle name="20% - Accent4 5" xfId="241" xr:uid="{00000000-0005-0000-0000-00009D000000}"/>
    <cellStyle name="20% - Accent4 5 2" xfId="242" xr:uid="{00000000-0005-0000-0000-00009E000000}"/>
    <cellStyle name="20% - Accent4 6" xfId="243" xr:uid="{00000000-0005-0000-0000-00009F000000}"/>
    <cellStyle name="20% - Accent4 6 2" xfId="244" xr:uid="{00000000-0005-0000-0000-0000A0000000}"/>
    <cellStyle name="20% - Accent4 7" xfId="245" xr:uid="{00000000-0005-0000-0000-0000A1000000}"/>
    <cellStyle name="20% - Accent4 7 2" xfId="246" xr:uid="{00000000-0005-0000-0000-0000A2000000}"/>
    <cellStyle name="20% - Accent4 8" xfId="247" xr:uid="{00000000-0005-0000-0000-0000A3000000}"/>
    <cellStyle name="20% - Accent4 8 2" xfId="248" xr:uid="{00000000-0005-0000-0000-0000A4000000}"/>
    <cellStyle name="20% - Accent4 9" xfId="249" xr:uid="{00000000-0005-0000-0000-0000A5000000}"/>
    <cellStyle name="20% - Accent4 9 2" xfId="250" xr:uid="{00000000-0005-0000-0000-0000A6000000}"/>
    <cellStyle name="20% - Accent5 10" xfId="251" xr:uid="{00000000-0005-0000-0000-0000A7000000}"/>
    <cellStyle name="20% - Accent5 10 2" xfId="252" xr:uid="{00000000-0005-0000-0000-0000A8000000}"/>
    <cellStyle name="20% - Accent5 11" xfId="253" xr:uid="{00000000-0005-0000-0000-0000A9000000}"/>
    <cellStyle name="20% - Accent5 11 2" xfId="254" xr:uid="{00000000-0005-0000-0000-0000AA000000}"/>
    <cellStyle name="20% - Accent5 12" xfId="255" xr:uid="{00000000-0005-0000-0000-0000AB000000}"/>
    <cellStyle name="20% - Accent5 12 2" xfId="256" xr:uid="{00000000-0005-0000-0000-0000AC000000}"/>
    <cellStyle name="20% - Accent5 13" xfId="257" xr:uid="{00000000-0005-0000-0000-0000AD000000}"/>
    <cellStyle name="20% - Accent5 13 2" xfId="258" xr:uid="{00000000-0005-0000-0000-0000AE000000}"/>
    <cellStyle name="20% - Accent5 14" xfId="259" xr:uid="{00000000-0005-0000-0000-0000AF000000}"/>
    <cellStyle name="20% - Accent5 14 2" xfId="260" xr:uid="{00000000-0005-0000-0000-0000B0000000}"/>
    <cellStyle name="20% - Accent5 15" xfId="261" xr:uid="{00000000-0005-0000-0000-0000B1000000}"/>
    <cellStyle name="20% - Accent5 15 2" xfId="262" xr:uid="{00000000-0005-0000-0000-0000B2000000}"/>
    <cellStyle name="20% - Accent5 16" xfId="263" xr:uid="{00000000-0005-0000-0000-0000B3000000}"/>
    <cellStyle name="20% - Accent5 16 2" xfId="264" xr:uid="{00000000-0005-0000-0000-0000B4000000}"/>
    <cellStyle name="20% - Accent5 17" xfId="265" xr:uid="{00000000-0005-0000-0000-0000B5000000}"/>
    <cellStyle name="20% - Accent5 17 2" xfId="266" xr:uid="{00000000-0005-0000-0000-0000B6000000}"/>
    <cellStyle name="20% - Accent5 18" xfId="267" xr:uid="{00000000-0005-0000-0000-0000B7000000}"/>
    <cellStyle name="20% - Accent5 18 2" xfId="268" xr:uid="{00000000-0005-0000-0000-0000B8000000}"/>
    <cellStyle name="20% - Accent5 19" xfId="269" xr:uid="{00000000-0005-0000-0000-0000B9000000}"/>
    <cellStyle name="20% - Accent5 2" xfId="270" xr:uid="{00000000-0005-0000-0000-0000BA000000}"/>
    <cellStyle name="20% - Accent5 2 2" xfId="271" xr:uid="{00000000-0005-0000-0000-0000BB000000}"/>
    <cellStyle name="20% - Accent5 20" xfId="272" xr:uid="{00000000-0005-0000-0000-0000BC000000}"/>
    <cellStyle name="20% - Accent5 21" xfId="273" xr:uid="{00000000-0005-0000-0000-0000BD000000}"/>
    <cellStyle name="20% - Accent5 22" xfId="274" xr:uid="{00000000-0005-0000-0000-0000BE000000}"/>
    <cellStyle name="20% - Accent5 23" xfId="275" xr:uid="{00000000-0005-0000-0000-0000BF000000}"/>
    <cellStyle name="20% - Accent5 24" xfId="276" xr:uid="{00000000-0005-0000-0000-0000C0000000}"/>
    <cellStyle name="20% - Accent5 25" xfId="277" xr:uid="{00000000-0005-0000-0000-0000C1000000}"/>
    <cellStyle name="20% - Accent5 3" xfId="278" xr:uid="{00000000-0005-0000-0000-0000C2000000}"/>
    <cellStyle name="20% - Accent5 3 2" xfId="279" xr:uid="{00000000-0005-0000-0000-0000C3000000}"/>
    <cellStyle name="20% - Accent5 4" xfId="280" xr:uid="{00000000-0005-0000-0000-0000C4000000}"/>
    <cellStyle name="20% - Accent5 4 2" xfId="281" xr:uid="{00000000-0005-0000-0000-0000C5000000}"/>
    <cellStyle name="20% - Accent5 5" xfId="282" xr:uid="{00000000-0005-0000-0000-0000C6000000}"/>
    <cellStyle name="20% - Accent5 5 2" xfId="283" xr:uid="{00000000-0005-0000-0000-0000C7000000}"/>
    <cellStyle name="20% - Accent5 6" xfId="284" xr:uid="{00000000-0005-0000-0000-0000C8000000}"/>
    <cellStyle name="20% - Accent5 6 2" xfId="285" xr:uid="{00000000-0005-0000-0000-0000C9000000}"/>
    <cellStyle name="20% - Accent5 7" xfId="286" xr:uid="{00000000-0005-0000-0000-0000CA000000}"/>
    <cellStyle name="20% - Accent5 7 2" xfId="287" xr:uid="{00000000-0005-0000-0000-0000CB000000}"/>
    <cellStyle name="20% - Accent5 8" xfId="288" xr:uid="{00000000-0005-0000-0000-0000CC000000}"/>
    <cellStyle name="20% - Accent5 8 2" xfId="289" xr:uid="{00000000-0005-0000-0000-0000CD000000}"/>
    <cellStyle name="20% - Accent5 9" xfId="290" xr:uid="{00000000-0005-0000-0000-0000CE000000}"/>
    <cellStyle name="20% - Accent5 9 2" xfId="291" xr:uid="{00000000-0005-0000-0000-0000CF000000}"/>
    <cellStyle name="20% - Accent6 10" xfId="292" xr:uid="{00000000-0005-0000-0000-0000D0000000}"/>
    <cellStyle name="20% - Accent6 10 2" xfId="293" xr:uid="{00000000-0005-0000-0000-0000D1000000}"/>
    <cellStyle name="20% - Accent6 11" xfId="294" xr:uid="{00000000-0005-0000-0000-0000D2000000}"/>
    <cellStyle name="20% - Accent6 11 2" xfId="295" xr:uid="{00000000-0005-0000-0000-0000D3000000}"/>
    <cellStyle name="20% - Accent6 12" xfId="296" xr:uid="{00000000-0005-0000-0000-0000D4000000}"/>
    <cellStyle name="20% - Accent6 12 2" xfId="297" xr:uid="{00000000-0005-0000-0000-0000D5000000}"/>
    <cellStyle name="20% - Accent6 13" xfId="298" xr:uid="{00000000-0005-0000-0000-0000D6000000}"/>
    <cellStyle name="20% - Accent6 13 2" xfId="299" xr:uid="{00000000-0005-0000-0000-0000D7000000}"/>
    <cellStyle name="20% - Accent6 14" xfId="300" xr:uid="{00000000-0005-0000-0000-0000D8000000}"/>
    <cellStyle name="20% - Accent6 14 2" xfId="301" xr:uid="{00000000-0005-0000-0000-0000D9000000}"/>
    <cellStyle name="20% - Accent6 15" xfId="302" xr:uid="{00000000-0005-0000-0000-0000DA000000}"/>
    <cellStyle name="20% - Accent6 15 2" xfId="303" xr:uid="{00000000-0005-0000-0000-0000DB000000}"/>
    <cellStyle name="20% - Accent6 16" xfId="304" xr:uid="{00000000-0005-0000-0000-0000DC000000}"/>
    <cellStyle name="20% - Accent6 16 2" xfId="305" xr:uid="{00000000-0005-0000-0000-0000DD000000}"/>
    <cellStyle name="20% - Accent6 17" xfId="306" xr:uid="{00000000-0005-0000-0000-0000DE000000}"/>
    <cellStyle name="20% - Accent6 17 2" xfId="307" xr:uid="{00000000-0005-0000-0000-0000DF000000}"/>
    <cellStyle name="20% - Accent6 18" xfId="308" xr:uid="{00000000-0005-0000-0000-0000E0000000}"/>
    <cellStyle name="20% - Accent6 18 2" xfId="309" xr:uid="{00000000-0005-0000-0000-0000E1000000}"/>
    <cellStyle name="20% - Accent6 19" xfId="310" xr:uid="{00000000-0005-0000-0000-0000E2000000}"/>
    <cellStyle name="20% - Accent6 2" xfId="311" xr:uid="{00000000-0005-0000-0000-0000E3000000}"/>
    <cellStyle name="20% - Accent6 2 2" xfId="312" xr:uid="{00000000-0005-0000-0000-0000E4000000}"/>
    <cellStyle name="20% - Accent6 20" xfId="313" xr:uid="{00000000-0005-0000-0000-0000E5000000}"/>
    <cellStyle name="20% - Accent6 21" xfId="314" xr:uid="{00000000-0005-0000-0000-0000E6000000}"/>
    <cellStyle name="20% - Accent6 22" xfId="315" xr:uid="{00000000-0005-0000-0000-0000E7000000}"/>
    <cellStyle name="20% - Accent6 23" xfId="316" xr:uid="{00000000-0005-0000-0000-0000E8000000}"/>
    <cellStyle name="20% - Accent6 24" xfId="317" xr:uid="{00000000-0005-0000-0000-0000E9000000}"/>
    <cellStyle name="20% - Accent6 25" xfId="318" xr:uid="{00000000-0005-0000-0000-0000EA000000}"/>
    <cellStyle name="20% - Accent6 3" xfId="319" xr:uid="{00000000-0005-0000-0000-0000EB000000}"/>
    <cellStyle name="20% - Accent6 3 2" xfId="320" xr:uid="{00000000-0005-0000-0000-0000EC000000}"/>
    <cellStyle name="20% - Accent6 4" xfId="321" xr:uid="{00000000-0005-0000-0000-0000ED000000}"/>
    <cellStyle name="20% - Accent6 4 2" xfId="322" xr:uid="{00000000-0005-0000-0000-0000EE000000}"/>
    <cellStyle name="20% - Accent6 5" xfId="323" xr:uid="{00000000-0005-0000-0000-0000EF000000}"/>
    <cellStyle name="20% - Accent6 5 2" xfId="324" xr:uid="{00000000-0005-0000-0000-0000F0000000}"/>
    <cellStyle name="20% - Accent6 6" xfId="325" xr:uid="{00000000-0005-0000-0000-0000F1000000}"/>
    <cellStyle name="20% - Accent6 6 2" xfId="326" xr:uid="{00000000-0005-0000-0000-0000F2000000}"/>
    <cellStyle name="20% - Accent6 7" xfId="327" xr:uid="{00000000-0005-0000-0000-0000F3000000}"/>
    <cellStyle name="20% - Accent6 7 2" xfId="328" xr:uid="{00000000-0005-0000-0000-0000F4000000}"/>
    <cellStyle name="20% - Accent6 8" xfId="329" xr:uid="{00000000-0005-0000-0000-0000F5000000}"/>
    <cellStyle name="20% - Accent6 8 2" xfId="330" xr:uid="{00000000-0005-0000-0000-0000F6000000}"/>
    <cellStyle name="20% - Accent6 9" xfId="331" xr:uid="{00000000-0005-0000-0000-0000F7000000}"/>
    <cellStyle name="20% - Accent6 9 2" xfId="332" xr:uid="{00000000-0005-0000-0000-0000F8000000}"/>
    <cellStyle name="40% - Accent1 10" xfId="333" xr:uid="{00000000-0005-0000-0000-0000F9000000}"/>
    <cellStyle name="40% - Accent1 10 2" xfId="334" xr:uid="{00000000-0005-0000-0000-0000FA000000}"/>
    <cellStyle name="40% - Accent1 11" xfId="335" xr:uid="{00000000-0005-0000-0000-0000FB000000}"/>
    <cellStyle name="40% - Accent1 11 2" xfId="336" xr:uid="{00000000-0005-0000-0000-0000FC000000}"/>
    <cellStyle name="40% - Accent1 12" xfId="337" xr:uid="{00000000-0005-0000-0000-0000FD000000}"/>
    <cellStyle name="40% - Accent1 12 2" xfId="338" xr:uid="{00000000-0005-0000-0000-0000FE000000}"/>
    <cellStyle name="40% - Accent1 13" xfId="339" xr:uid="{00000000-0005-0000-0000-0000FF000000}"/>
    <cellStyle name="40% - Accent1 13 2" xfId="340" xr:uid="{00000000-0005-0000-0000-000000010000}"/>
    <cellStyle name="40% - Accent1 14" xfId="341" xr:uid="{00000000-0005-0000-0000-000001010000}"/>
    <cellStyle name="40% - Accent1 14 2" xfId="342" xr:uid="{00000000-0005-0000-0000-000002010000}"/>
    <cellStyle name="40% - Accent1 15" xfId="343" xr:uid="{00000000-0005-0000-0000-000003010000}"/>
    <cellStyle name="40% - Accent1 15 2" xfId="344" xr:uid="{00000000-0005-0000-0000-000004010000}"/>
    <cellStyle name="40% - Accent1 16" xfId="345" xr:uid="{00000000-0005-0000-0000-000005010000}"/>
    <cellStyle name="40% - Accent1 16 2" xfId="346" xr:uid="{00000000-0005-0000-0000-000006010000}"/>
    <cellStyle name="40% - Accent1 17" xfId="347" xr:uid="{00000000-0005-0000-0000-000007010000}"/>
    <cellStyle name="40% - Accent1 17 2" xfId="348" xr:uid="{00000000-0005-0000-0000-000008010000}"/>
    <cellStyle name="40% - Accent1 18" xfId="349" xr:uid="{00000000-0005-0000-0000-000009010000}"/>
    <cellStyle name="40% - Accent1 18 2" xfId="350" xr:uid="{00000000-0005-0000-0000-00000A010000}"/>
    <cellStyle name="40% - Accent1 19" xfId="351" xr:uid="{00000000-0005-0000-0000-00000B010000}"/>
    <cellStyle name="40% - Accent1 2" xfId="352" xr:uid="{00000000-0005-0000-0000-00000C010000}"/>
    <cellStyle name="40% - Accent1 2 2" xfId="353" xr:uid="{00000000-0005-0000-0000-00000D010000}"/>
    <cellStyle name="40% - Accent1 20" xfId="354" xr:uid="{00000000-0005-0000-0000-00000E010000}"/>
    <cellStyle name="40% - Accent1 21" xfId="355" xr:uid="{00000000-0005-0000-0000-00000F010000}"/>
    <cellStyle name="40% - Accent1 22" xfId="356" xr:uid="{00000000-0005-0000-0000-000010010000}"/>
    <cellStyle name="40% - Accent1 23" xfId="357" xr:uid="{00000000-0005-0000-0000-000011010000}"/>
    <cellStyle name="40% - Accent1 24" xfId="358" xr:uid="{00000000-0005-0000-0000-000012010000}"/>
    <cellStyle name="40% - Accent1 25" xfId="359" xr:uid="{00000000-0005-0000-0000-000013010000}"/>
    <cellStyle name="40% - Accent1 3" xfId="360" xr:uid="{00000000-0005-0000-0000-000014010000}"/>
    <cellStyle name="40% - Accent1 3 2" xfId="361" xr:uid="{00000000-0005-0000-0000-000015010000}"/>
    <cellStyle name="40% - Accent1 4" xfId="362" xr:uid="{00000000-0005-0000-0000-000016010000}"/>
    <cellStyle name="40% - Accent1 4 2" xfId="363" xr:uid="{00000000-0005-0000-0000-000017010000}"/>
    <cellStyle name="40% - Accent1 5" xfId="364" xr:uid="{00000000-0005-0000-0000-000018010000}"/>
    <cellStyle name="40% - Accent1 5 2" xfId="365" xr:uid="{00000000-0005-0000-0000-000019010000}"/>
    <cellStyle name="40% - Accent1 6" xfId="366" xr:uid="{00000000-0005-0000-0000-00001A010000}"/>
    <cellStyle name="40% - Accent1 6 2" xfId="367" xr:uid="{00000000-0005-0000-0000-00001B010000}"/>
    <cellStyle name="40% - Accent1 7" xfId="368" xr:uid="{00000000-0005-0000-0000-00001C010000}"/>
    <cellStyle name="40% - Accent1 7 2" xfId="369" xr:uid="{00000000-0005-0000-0000-00001D010000}"/>
    <cellStyle name="40% - Accent1 8" xfId="370" xr:uid="{00000000-0005-0000-0000-00001E010000}"/>
    <cellStyle name="40% - Accent1 8 2" xfId="371" xr:uid="{00000000-0005-0000-0000-00001F010000}"/>
    <cellStyle name="40% - Accent1 9" xfId="372" xr:uid="{00000000-0005-0000-0000-000020010000}"/>
    <cellStyle name="40% - Accent1 9 2" xfId="373" xr:uid="{00000000-0005-0000-0000-000021010000}"/>
    <cellStyle name="40% - Accent2 10" xfId="374" xr:uid="{00000000-0005-0000-0000-000022010000}"/>
    <cellStyle name="40% - Accent2 10 2" xfId="375" xr:uid="{00000000-0005-0000-0000-000023010000}"/>
    <cellStyle name="40% - Accent2 11" xfId="376" xr:uid="{00000000-0005-0000-0000-000024010000}"/>
    <cellStyle name="40% - Accent2 11 2" xfId="377" xr:uid="{00000000-0005-0000-0000-000025010000}"/>
    <cellStyle name="40% - Accent2 12" xfId="378" xr:uid="{00000000-0005-0000-0000-000026010000}"/>
    <cellStyle name="40% - Accent2 12 2" xfId="379" xr:uid="{00000000-0005-0000-0000-000027010000}"/>
    <cellStyle name="40% - Accent2 13" xfId="380" xr:uid="{00000000-0005-0000-0000-000028010000}"/>
    <cellStyle name="40% - Accent2 13 2" xfId="381" xr:uid="{00000000-0005-0000-0000-000029010000}"/>
    <cellStyle name="40% - Accent2 14" xfId="382" xr:uid="{00000000-0005-0000-0000-00002A010000}"/>
    <cellStyle name="40% - Accent2 14 2" xfId="383" xr:uid="{00000000-0005-0000-0000-00002B010000}"/>
    <cellStyle name="40% - Accent2 15" xfId="384" xr:uid="{00000000-0005-0000-0000-00002C010000}"/>
    <cellStyle name="40% - Accent2 15 2" xfId="385" xr:uid="{00000000-0005-0000-0000-00002D010000}"/>
    <cellStyle name="40% - Accent2 16" xfId="386" xr:uid="{00000000-0005-0000-0000-00002E010000}"/>
    <cellStyle name="40% - Accent2 16 2" xfId="387" xr:uid="{00000000-0005-0000-0000-00002F010000}"/>
    <cellStyle name="40% - Accent2 17" xfId="388" xr:uid="{00000000-0005-0000-0000-000030010000}"/>
    <cellStyle name="40% - Accent2 17 2" xfId="389" xr:uid="{00000000-0005-0000-0000-000031010000}"/>
    <cellStyle name="40% - Accent2 18" xfId="390" xr:uid="{00000000-0005-0000-0000-000032010000}"/>
    <cellStyle name="40% - Accent2 18 2" xfId="391" xr:uid="{00000000-0005-0000-0000-000033010000}"/>
    <cellStyle name="40% - Accent2 19" xfId="392" xr:uid="{00000000-0005-0000-0000-000034010000}"/>
    <cellStyle name="40% - Accent2 2" xfId="393" xr:uid="{00000000-0005-0000-0000-000035010000}"/>
    <cellStyle name="40% - Accent2 2 2" xfId="394" xr:uid="{00000000-0005-0000-0000-000036010000}"/>
    <cellStyle name="40% - Accent2 20" xfId="395" xr:uid="{00000000-0005-0000-0000-000037010000}"/>
    <cellStyle name="40% - Accent2 21" xfId="396" xr:uid="{00000000-0005-0000-0000-000038010000}"/>
    <cellStyle name="40% - Accent2 22" xfId="397" xr:uid="{00000000-0005-0000-0000-000039010000}"/>
    <cellStyle name="40% - Accent2 23" xfId="398" xr:uid="{00000000-0005-0000-0000-00003A010000}"/>
    <cellStyle name="40% - Accent2 24" xfId="399" xr:uid="{00000000-0005-0000-0000-00003B010000}"/>
    <cellStyle name="40% - Accent2 25" xfId="400" xr:uid="{00000000-0005-0000-0000-00003C010000}"/>
    <cellStyle name="40% - Accent2 3" xfId="401" xr:uid="{00000000-0005-0000-0000-00003D010000}"/>
    <cellStyle name="40% - Accent2 3 2" xfId="402" xr:uid="{00000000-0005-0000-0000-00003E010000}"/>
    <cellStyle name="40% - Accent2 4" xfId="403" xr:uid="{00000000-0005-0000-0000-00003F010000}"/>
    <cellStyle name="40% - Accent2 4 2" xfId="404" xr:uid="{00000000-0005-0000-0000-000040010000}"/>
    <cellStyle name="40% - Accent2 5" xfId="405" xr:uid="{00000000-0005-0000-0000-000041010000}"/>
    <cellStyle name="40% - Accent2 5 2" xfId="406" xr:uid="{00000000-0005-0000-0000-000042010000}"/>
    <cellStyle name="40% - Accent2 6" xfId="407" xr:uid="{00000000-0005-0000-0000-000043010000}"/>
    <cellStyle name="40% - Accent2 6 2" xfId="408" xr:uid="{00000000-0005-0000-0000-000044010000}"/>
    <cellStyle name="40% - Accent2 7" xfId="409" xr:uid="{00000000-0005-0000-0000-000045010000}"/>
    <cellStyle name="40% - Accent2 7 2" xfId="410" xr:uid="{00000000-0005-0000-0000-000046010000}"/>
    <cellStyle name="40% - Accent2 8" xfId="411" xr:uid="{00000000-0005-0000-0000-000047010000}"/>
    <cellStyle name="40% - Accent2 8 2" xfId="412" xr:uid="{00000000-0005-0000-0000-000048010000}"/>
    <cellStyle name="40% - Accent2 9" xfId="413" xr:uid="{00000000-0005-0000-0000-000049010000}"/>
    <cellStyle name="40% - Accent2 9 2" xfId="414" xr:uid="{00000000-0005-0000-0000-00004A010000}"/>
    <cellStyle name="40% - Accent3 10" xfId="415" xr:uid="{00000000-0005-0000-0000-00004B010000}"/>
    <cellStyle name="40% - Accent3 10 2" xfId="416" xr:uid="{00000000-0005-0000-0000-00004C010000}"/>
    <cellStyle name="40% - Accent3 11" xfId="417" xr:uid="{00000000-0005-0000-0000-00004D010000}"/>
    <cellStyle name="40% - Accent3 11 2" xfId="418" xr:uid="{00000000-0005-0000-0000-00004E010000}"/>
    <cellStyle name="40% - Accent3 12" xfId="419" xr:uid="{00000000-0005-0000-0000-00004F010000}"/>
    <cellStyle name="40% - Accent3 12 2" xfId="420" xr:uid="{00000000-0005-0000-0000-000050010000}"/>
    <cellStyle name="40% - Accent3 13" xfId="421" xr:uid="{00000000-0005-0000-0000-000051010000}"/>
    <cellStyle name="40% - Accent3 13 2" xfId="422" xr:uid="{00000000-0005-0000-0000-000052010000}"/>
    <cellStyle name="40% - Accent3 14" xfId="423" xr:uid="{00000000-0005-0000-0000-000053010000}"/>
    <cellStyle name="40% - Accent3 14 2" xfId="424" xr:uid="{00000000-0005-0000-0000-000054010000}"/>
    <cellStyle name="40% - Accent3 15" xfId="425" xr:uid="{00000000-0005-0000-0000-000055010000}"/>
    <cellStyle name="40% - Accent3 15 2" xfId="426" xr:uid="{00000000-0005-0000-0000-000056010000}"/>
    <cellStyle name="40% - Accent3 16" xfId="427" xr:uid="{00000000-0005-0000-0000-000057010000}"/>
    <cellStyle name="40% - Accent3 16 2" xfId="428" xr:uid="{00000000-0005-0000-0000-000058010000}"/>
    <cellStyle name="40% - Accent3 17" xfId="429" xr:uid="{00000000-0005-0000-0000-000059010000}"/>
    <cellStyle name="40% - Accent3 17 2" xfId="430" xr:uid="{00000000-0005-0000-0000-00005A010000}"/>
    <cellStyle name="40% - Accent3 18" xfId="431" xr:uid="{00000000-0005-0000-0000-00005B010000}"/>
    <cellStyle name="40% - Accent3 18 2" xfId="432" xr:uid="{00000000-0005-0000-0000-00005C010000}"/>
    <cellStyle name="40% - Accent3 19" xfId="433" xr:uid="{00000000-0005-0000-0000-00005D010000}"/>
    <cellStyle name="40% - Accent3 2" xfId="434" xr:uid="{00000000-0005-0000-0000-00005E010000}"/>
    <cellStyle name="40% - Accent3 2 2" xfId="435" xr:uid="{00000000-0005-0000-0000-00005F010000}"/>
    <cellStyle name="40% - Accent3 20" xfId="436" xr:uid="{00000000-0005-0000-0000-000060010000}"/>
    <cellStyle name="40% - Accent3 21" xfId="437" xr:uid="{00000000-0005-0000-0000-000061010000}"/>
    <cellStyle name="40% - Accent3 22" xfId="438" xr:uid="{00000000-0005-0000-0000-000062010000}"/>
    <cellStyle name="40% - Accent3 23" xfId="439" xr:uid="{00000000-0005-0000-0000-000063010000}"/>
    <cellStyle name="40% - Accent3 24" xfId="440" xr:uid="{00000000-0005-0000-0000-000064010000}"/>
    <cellStyle name="40% - Accent3 25" xfId="441" xr:uid="{00000000-0005-0000-0000-000065010000}"/>
    <cellStyle name="40% - Accent3 3" xfId="442" xr:uid="{00000000-0005-0000-0000-000066010000}"/>
    <cellStyle name="40% - Accent3 3 2" xfId="443" xr:uid="{00000000-0005-0000-0000-000067010000}"/>
    <cellStyle name="40% - Accent3 4" xfId="444" xr:uid="{00000000-0005-0000-0000-000068010000}"/>
    <cellStyle name="40% - Accent3 4 2" xfId="445" xr:uid="{00000000-0005-0000-0000-000069010000}"/>
    <cellStyle name="40% - Accent3 5" xfId="446" xr:uid="{00000000-0005-0000-0000-00006A010000}"/>
    <cellStyle name="40% - Accent3 5 2" xfId="447" xr:uid="{00000000-0005-0000-0000-00006B010000}"/>
    <cellStyle name="40% - Accent3 6" xfId="448" xr:uid="{00000000-0005-0000-0000-00006C010000}"/>
    <cellStyle name="40% - Accent3 6 2" xfId="449" xr:uid="{00000000-0005-0000-0000-00006D010000}"/>
    <cellStyle name="40% - Accent3 7" xfId="450" xr:uid="{00000000-0005-0000-0000-00006E010000}"/>
    <cellStyle name="40% - Accent3 7 2" xfId="451" xr:uid="{00000000-0005-0000-0000-00006F010000}"/>
    <cellStyle name="40% - Accent3 8" xfId="452" xr:uid="{00000000-0005-0000-0000-000070010000}"/>
    <cellStyle name="40% - Accent3 8 2" xfId="453" xr:uid="{00000000-0005-0000-0000-000071010000}"/>
    <cellStyle name="40% - Accent3 9" xfId="454" xr:uid="{00000000-0005-0000-0000-000072010000}"/>
    <cellStyle name="40% - Accent3 9 2" xfId="455" xr:uid="{00000000-0005-0000-0000-000073010000}"/>
    <cellStyle name="40% - Accent4 10" xfId="456" xr:uid="{00000000-0005-0000-0000-000074010000}"/>
    <cellStyle name="40% - Accent4 10 2" xfId="457" xr:uid="{00000000-0005-0000-0000-000075010000}"/>
    <cellStyle name="40% - Accent4 11" xfId="458" xr:uid="{00000000-0005-0000-0000-000076010000}"/>
    <cellStyle name="40% - Accent4 11 2" xfId="459" xr:uid="{00000000-0005-0000-0000-000077010000}"/>
    <cellStyle name="40% - Accent4 12" xfId="460" xr:uid="{00000000-0005-0000-0000-000078010000}"/>
    <cellStyle name="40% - Accent4 12 2" xfId="461" xr:uid="{00000000-0005-0000-0000-000079010000}"/>
    <cellStyle name="40% - Accent4 13" xfId="462" xr:uid="{00000000-0005-0000-0000-00007A010000}"/>
    <cellStyle name="40% - Accent4 13 2" xfId="463" xr:uid="{00000000-0005-0000-0000-00007B010000}"/>
    <cellStyle name="40% - Accent4 14" xfId="464" xr:uid="{00000000-0005-0000-0000-00007C010000}"/>
    <cellStyle name="40% - Accent4 14 2" xfId="465" xr:uid="{00000000-0005-0000-0000-00007D010000}"/>
    <cellStyle name="40% - Accent4 15" xfId="466" xr:uid="{00000000-0005-0000-0000-00007E010000}"/>
    <cellStyle name="40% - Accent4 15 2" xfId="467" xr:uid="{00000000-0005-0000-0000-00007F010000}"/>
    <cellStyle name="40% - Accent4 16" xfId="468" xr:uid="{00000000-0005-0000-0000-000080010000}"/>
    <cellStyle name="40% - Accent4 16 2" xfId="469" xr:uid="{00000000-0005-0000-0000-000081010000}"/>
    <cellStyle name="40% - Accent4 17" xfId="470" xr:uid="{00000000-0005-0000-0000-000082010000}"/>
    <cellStyle name="40% - Accent4 17 2" xfId="471" xr:uid="{00000000-0005-0000-0000-000083010000}"/>
    <cellStyle name="40% - Accent4 18" xfId="472" xr:uid="{00000000-0005-0000-0000-000084010000}"/>
    <cellStyle name="40% - Accent4 18 2" xfId="473" xr:uid="{00000000-0005-0000-0000-000085010000}"/>
    <cellStyle name="40% - Accent4 19" xfId="474" xr:uid="{00000000-0005-0000-0000-000086010000}"/>
    <cellStyle name="40% - Accent4 2" xfId="475" xr:uid="{00000000-0005-0000-0000-000087010000}"/>
    <cellStyle name="40% - Accent4 2 2" xfId="476" xr:uid="{00000000-0005-0000-0000-000088010000}"/>
    <cellStyle name="40% - Accent4 20" xfId="477" xr:uid="{00000000-0005-0000-0000-000089010000}"/>
    <cellStyle name="40% - Accent4 21" xfId="478" xr:uid="{00000000-0005-0000-0000-00008A010000}"/>
    <cellStyle name="40% - Accent4 22" xfId="479" xr:uid="{00000000-0005-0000-0000-00008B010000}"/>
    <cellStyle name="40% - Accent4 23" xfId="480" xr:uid="{00000000-0005-0000-0000-00008C010000}"/>
    <cellStyle name="40% - Accent4 24" xfId="481" xr:uid="{00000000-0005-0000-0000-00008D010000}"/>
    <cellStyle name="40% - Accent4 25" xfId="482" xr:uid="{00000000-0005-0000-0000-00008E010000}"/>
    <cellStyle name="40% - Accent4 3" xfId="483" xr:uid="{00000000-0005-0000-0000-00008F010000}"/>
    <cellStyle name="40% - Accent4 3 2" xfId="484" xr:uid="{00000000-0005-0000-0000-000090010000}"/>
    <cellStyle name="40% - Accent4 4" xfId="485" xr:uid="{00000000-0005-0000-0000-000091010000}"/>
    <cellStyle name="40% - Accent4 4 2" xfId="486" xr:uid="{00000000-0005-0000-0000-000092010000}"/>
    <cellStyle name="40% - Accent4 5" xfId="487" xr:uid="{00000000-0005-0000-0000-000093010000}"/>
    <cellStyle name="40% - Accent4 5 2" xfId="488" xr:uid="{00000000-0005-0000-0000-000094010000}"/>
    <cellStyle name="40% - Accent4 6" xfId="489" xr:uid="{00000000-0005-0000-0000-000095010000}"/>
    <cellStyle name="40% - Accent4 6 2" xfId="490" xr:uid="{00000000-0005-0000-0000-000096010000}"/>
    <cellStyle name="40% - Accent4 7" xfId="491" xr:uid="{00000000-0005-0000-0000-000097010000}"/>
    <cellStyle name="40% - Accent4 7 2" xfId="492" xr:uid="{00000000-0005-0000-0000-000098010000}"/>
    <cellStyle name="40% - Accent4 8" xfId="493" xr:uid="{00000000-0005-0000-0000-000099010000}"/>
    <cellStyle name="40% - Accent4 8 2" xfId="494" xr:uid="{00000000-0005-0000-0000-00009A010000}"/>
    <cellStyle name="40% - Accent4 9" xfId="495" xr:uid="{00000000-0005-0000-0000-00009B010000}"/>
    <cellStyle name="40% - Accent4 9 2" xfId="496" xr:uid="{00000000-0005-0000-0000-00009C010000}"/>
    <cellStyle name="40% - Accent5 10" xfId="497" xr:uid="{00000000-0005-0000-0000-00009D010000}"/>
    <cellStyle name="40% - Accent5 10 2" xfId="498" xr:uid="{00000000-0005-0000-0000-00009E010000}"/>
    <cellStyle name="40% - Accent5 11" xfId="499" xr:uid="{00000000-0005-0000-0000-00009F010000}"/>
    <cellStyle name="40% - Accent5 11 2" xfId="500" xr:uid="{00000000-0005-0000-0000-0000A0010000}"/>
    <cellStyle name="40% - Accent5 12" xfId="501" xr:uid="{00000000-0005-0000-0000-0000A1010000}"/>
    <cellStyle name="40% - Accent5 12 2" xfId="502" xr:uid="{00000000-0005-0000-0000-0000A2010000}"/>
    <cellStyle name="40% - Accent5 13" xfId="503" xr:uid="{00000000-0005-0000-0000-0000A3010000}"/>
    <cellStyle name="40% - Accent5 13 2" xfId="504" xr:uid="{00000000-0005-0000-0000-0000A4010000}"/>
    <cellStyle name="40% - Accent5 14" xfId="505" xr:uid="{00000000-0005-0000-0000-0000A5010000}"/>
    <cellStyle name="40% - Accent5 14 2" xfId="506" xr:uid="{00000000-0005-0000-0000-0000A6010000}"/>
    <cellStyle name="40% - Accent5 15" xfId="507" xr:uid="{00000000-0005-0000-0000-0000A7010000}"/>
    <cellStyle name="40% - Accent5 15 2" xfId="508" xr:uid="{00000000-0005-0000-0000-0000A8010000}"/>
    <cellStyle name="40% - Accent5 16" xfId="509" xr:uid="{00000000-0005-0000-0000-0000A9010000}"/>
    <cellStyle name="40% - Accent5 16 2" xfId="510" xr:uid="{00000000-0005-0000-0000-0000AA010000}"/>
    <cellStyle name="40% - Accent5 17" xfId="511" xr:uid="{00000000-0005-0000-0000-0000AB010000}"/>
    <cellStyle name="40% - Accent5 17 2" xfId="512" xr:uid="{00000000-0005-0000-0000-0000AC010000}"/>
    <cellStyle name="40% - Accent5 18" xfId="513" xr:uid="{00000000-0005-0000-0000-0000AD010000}"/>
    <cellStyle name="40% - Accent5 18 2" xfId="514" xr:uid="{00000000-0005-0000-0000-0000AE010000}"/>
    <cellStyle name="40% - Accent5 19" xfId="515" xr:uid="{00000000-0005-0000-0000-0000AF010000}"/>
    <cellStyle name="40% - Accent5 2" xfId="516" xr:uid="{00000000-0005-0000-0000-0000B0010000}"/>
    <cellStyle name="40% - Accent5 2 2" xfId="517" xr:uid="{00000000-0005-0000-0000-0000B1010000}"/>
    <cellStyle name="40% - Accent5 20" xfId="518" xr:uid="{00000000-0005-0000-0000-0000B2010000}"/>
    <cellStyle name="40% - Accent5 21" xfId="519" xr:uid="{00000000-0005-0000-0000-0000B3010000}"/>
    <cellStyle name="40% - Accent5 22" xfId="520" xr:uid="{00000000-0005-0000-0000-0000B4010000}"/>
    <cellStyle name="40% - Accent5 23" xfId="521" xr:uid="{00000000-0005-0000-0000-0000B5010000}"/>
    <cellStyle name="40% - Accent5 24" xfId="522" xr:uid="{00000000-0005-0000-0000-0000B6010000}"/>
    <cellStyle name="40% - Accent5 25" xfId="523" xr:uid="{00000000-0005-0000-0000-0000B7010000}"/>
    <cellStyle name="40% - Accent5 3" xfId="524" xr:uid="{00000000-0005-0000-0000-0000B8010000}"/>
    <cellStyle name="40% - Accent5 3 2" xfId="525" xr:uid="{00000000-0005-0000-0000-0000B9010000}"/>
    <cellStyle name="40% - Accent5 4" xfId="526" xr:uid="{00000000-0005-0000-0000-0000BA010000}"/>
    <cellStyle name="40% - Accent5 4 2" xfId="527" xr:uid="{00000000-0005-0000-0000-0000BB010000}"/>
    <cellStyle name="40% - Accent5 5" xfId="528" xr:uid="{00000000-0005-0000-0000-0000BC010000}"/>
    <cellStyle name="40% - Accent5 5 2" xfId="529" xr:uid="{00000000-0005-0000-0000-0000BD010000}"/>
    <cellStyle name="40% - Accent5 6" xfId="530" xr:uid="{00000000-0005-0000-0000-0000BE010000}"/>
    <cellStyle name="40% - Accent5 6 2" xfId="531" xr:uid="{00000000-0005-0000-0000-0000BF010000}"/>
    <cellStyle name="40% - Accent5 7" xfId="532" xr:uid="{00000000-0005-0000-0000-0000C0010000}"/>
    <cellStyle name="40% - Accent5 7 2" xfId="533" xr:uid="{00000000-0005-0000-0000-0000C1010000}"/>
    <cellStyle name="40% - Accent5 8" xfId="534" xr:uid="{00000000-0005-0000-0000-0000C2010000}"/>
    <cellStyle name="40% - Accent5 8 2" xfId="535" xr:uid="{00000000-0005-0000-0000-0000C3010000}"/>
    <cellStyle name="40% - Accent5 9" xfId="536" xr:uid="{00000000-0005-0000-0000-0000C4010000}"/>
    <cellStyle name="40% - Accent5 9 2" xfId="537" xr:uid="{00000000-0005-0000-0000-0000C5010000}"/>
    <cellStyle name="40% - Accent6 10" xfId="538" xr:uid="{00000000-0005-0000-0000-0000C6010000}"/>
    <cellStyle name="40% - Accent6 10 2" xfId="539" xr:uid="{00000000-0005-0000-0000-0000C7010000}"/>
    <cellStyle name="40% - Accent6 11" xfId="540" xr:uid="{00000000-0005-0000-0000-0000C8010000}"/>
    <cellStyle name="40% - Accent6 11 2" xfId="541" xr:uid="{00000000-0005-0000-0000-0000C9010000}"/>
    <cellStyle name="40% - Accent6 12" xfId="542" xr:uid="{00000000-0005-0000-0000-0000CA010000}"/>
    <cellStyle name="40% - Accent6 12 2" xfId="543" xr:uid="{00000000-0005-0000-0000-0000CB010000}"/>
    <cellStyle name="40% - Accent6 13" xfId="544" xr:uid="{00000000-0005-0000-0000-0000CC010000}"/>
    <cellStyle name="40% - Accent6 13 2" xfId="545" xr:uid="{00000000-0005-0000-0000-0000CD010000}"/>
    <cellStyle name="40% - Accent6 14" xfId="546" xr:uid="{00000000-0005-0000-0000-0000CE010000}"/>
    <cellStyle name="40% - Accent6 14 2" xfId="547" xr:uid="{00000000-0005-0000-0000-0000CF010000}"/>
    <cellStyle name="40% - Accent6 15" xfId="548" xr:uid="{00000000-0005-0000-0000-0000D0010000}"/>
    <cellStyle name="40% - Accent6 15 2" xfId="549" xr:uid="{00000000-0005-0000-0000-0000D1010000}"/>
    <cellStyle name="40% - Accent6 16" xfId="550" xr:uid="{00000000-0005-0000-0000-0000D2010000}"/>
    <cellStyle name="40% - Accent6 16 2" xfId="551" xr:uid="{00000000-0005-0000-0000-0000D3010000}"/>
    <cellStyle name="40% - Accent6 17" xfId="552" xr:uid="{00000000-0005-0000-0000-0000D4010000}"/>
    <cellStyle name="40% - Accent6 17 2" xfId="553" xr:uid="{00000000-0005-0000-0000-0000D5010000}"/>
    <cellStyle name="40% - Accent6 18" xfId="554" xr:uid="{00000000-0005-0000-0000-0000D6010000}"/>
    <cellStyle name="40% - Accent6 18 2" xfId="555" xr:uid="{00000000-0005-0000-0000-0000D7010000}"/>
    <cellStyle name="40% - Accent6 19" xfId="556" xr:uid="{00000000-0005-0000-0000-0000D8010000}"/>
    <cellStyle name="40% - Accent6 2" xfId="557" xr:uid="{00000000-0005-0000-0000-0000D9010000}"/>
    <cellStyle name="40% - Accent6 2 2" xfId="558" xr:uid="{00000000-0005-0000-0000-0000DA010000}"/>
    <cellStyle name="40% - Accent6 20" xfId="559" xr:uid="{00000000-0005-0000-0000-0000DB010000}"/>
    <cellStyle name="40% - Accent6 21" xfId="560" xr:uid="{00000000-0005-0000-0000-0000DC010000}"/>
    <cellStyle name="40% - Accent6 22" xfId="561" xr:uid="{00000000-0005-0000-0000-0000DD010000}"/>
    <cellStyle name="40% - Accent6 23" xfId="562" xr:uid="{00000000-0005-0000-0000-0000DE010000}"/>
    <cellStyle name="40% - Accent6 24" xfId="563" xr:uid="{00000000-0005-0000-0000-0000DF010000}"/>
    <cellStyle name="40% - Accent6 25" xfId="564" xr:uid="{00000000-0005-0000-0000-0000E0010000}"/>
    <cellStyle name="40% - Accent6 3" xfId="565" xr:uid="{00000000-0005-0000-0000-0000E1010000}"/>
    <cellStyle name="40% - Accent6 3 2" xfId="566" xr:uid="{00000000-0005-0000-0000-0000E2010000}"/>
    <cellStyle name="40% - Accent6 4" xfId="567" xr:uid="{00000000-0005-0000-0000-0000E3010000}"/>
    <cellStyle name="40% - Accent6 4 2" xfId="568" xr:uid="{00000000-0005-0000-0000-0000E4010000}"/>
    <cellStyle name="40% - Accent6 5" xfId="569" xr:uid="{00000000-0005-0000-0000-0000E5010000}"/>
    <cellStyle name="40% - Accent6 5 2" xfId="570" xr:uid="{00000000-0005-0000-0000-0000E6010000}"/>
    <cellStyle name="40% - Accent6 6" xfId="571" xr:uid="{00000000-0005-0000-0000-0000E7010000}"/>
    <cellStyle name="40% - Accent6 6 2" xfId="572" xr:uid="{00000000-0005-0000-0000-0000E8010000}"/>
    <cellStyle name="40% - Accent6 7" xfId="573" xr:uid="{00000000-0005-0000-0000-0000E9010000}"/>
    <cellStyle name="40% - Accent6 7 2" xfId="574" xr:uid="{00000000-0005-0000-0000-0000EA010000}"/>
    <cellStyle name="40% - Accent6 8" xfId="575" xr:uid="{00000000-0005-0000-0000-0000EB010000}"/>
    <cellStyle name="40% - Accent6 8 2" xfId="576" xr:uid="{00000000-0005-0000-0000-0000EC010000}"/>
    <cellStyle name="40% - Accent6 9" xfId="577" xr:uid="{00000000-0005-0000-0000-0000ED010000}"/>
    <cellStyle name="40% - Accent6 9 2" xfId="578" xr:uid="{00000000-0005-0000-0000-0000EE010000}"/>
    <cellStyle name="60% - Accent1 10" xfId="579" xr:uid="{00000000-0005-0000-0000-0000EF010000}"/>
    <cellStyle name="60% - Accent1 10 2" xfId="580" xr:uid="{00000000-0005-0000-0000-0000F0010000}"/>
    <cellStyle name="60% - Accent1 11" xfId="581" xr:uid="{00000000-0005-0000-0000-0000F1010000}"/>
    <cellStyle name="60% - Accent1 11 2" xfId="582" xr:uid="{00000000-0005-0000-0000-0000F2010000}"/>
    <cellStyle name="60% - Accent1 12" xfId="583" xr:uid="{00000000-0005-0000-0000-0000F3010000}"/>
    <cellStyle name="60% - Accent1 12 2" xfId="584" xr:uid="{00000000-0005-0000-0000-0000F4010000}"/>
    <cellStyle name="60% - Accent1 13" xfId="585" xr:uid="{00000000-0005-0000-0000-0000F5010000}"/>
    <cellStyle name="60% - Accent1 13 2" xfId="586" xr:uid="{00000000-0005-0000-0000-0000F6010000}"/>
    <cellStyle name="60% - Accent1 14" xfId="587" xr:uid="{00000000-0005-0000-0000-0000F7010000}"/>
    <cellStyle name="60% - Accent1 14 2" xfId="588" xr:uid="{00000000-0005-0000-0000-0000F8010000}"/>
    <cellStyle name="60% - Accent1 15" xfId="589" xr:uid="{00000000-0005-0000-0000-0000F9010000}"/>
    <cellStyle name="60% - Accent1 15 2" xfId="590" xr:uid="{00000000-0005-0000-0000-0000FA010000}"/>
    <cellStyle name="60% - Accent1 16" xfId="591" xr:uid="{00000000-0005-0000-0000-0000FB010000}"/>
    <cellStyle name="60% - Accent1 16 2" xfId="592" xr:uid="{00000000-0005-0000-0000-0000FC010000}"/>
    <cellStyle name="60% - Accent1 17" xfId="593" xr:uid="{00000000-0005-0000-0000-0000FD010000}"/>
    <cellStyle name="60% - Accent1 17 2" xfId="594" xr:uid="{00000000-0005-0000-0000-0000FE010000}"/>
    <cellStyle name="60% - Accent1 18" xfId="595" xr:uid="{00000000-0005-0000-0000-0000FF010000}"/>
    <cellStyle name="60% - Accent1 18 2" xfId="596" xr:uid="{00000000-0005-0000-0000-000000020000}"/>
    <cellStyle name="60% - Accent1 19" xfId="597" xr:uid="{00000000-0005-0000-0000-000001020000}"/>
    <cellStyle name="60% - Accent1 2" xfId="598" xr:uid="{00000000-0005-0000-0000-000002020000}"/>
    <cellStyle name="60% - Accent1 2 2" xfId="599" xr:uid="{00000000-0005-0000-0000-000003020000}"/>
    <cellStyle name="60% - Accent1 20" xfId="600" xr:uid="{00000000-0005-0000-0000-000004020000}"/>
    <cellStyle name="60% - Accent1 21" xfId="601" xr:uid="{00000000-0005-0000-0000-000005020000}"/>
    <cellStyle name="60% - Accent1 22" xfId="602" xr:uid="{00000000-0005-0000-0000-000006020000}"/>
    <cellStyle name="60% - Accent1 23" xfId="603" xr:uid="{00000000-0005-0000-0000-000007020000}"/>
    <cellStyle name="60% - Accent1 24" xfId="604" xr:uid="{00000000-0005-0000-0000-000008020000}"/>
    <cellStyle name="60% - Accent1 25" xfId="605" xr:uid="{00000000-0005-0000-0000-000009020000}"/>
    <cellStyle name="60% - Accent1 3" xfId="606" xr:uid="{00000000-0005-0000-0000-00000A020000}"/>
    <cellStyle name="60% - Accent1 3 2" xfId="607" xr:uid="{00000000-0005-0000-0000-00000B020000}"/>
    <cellStyle name="60% - Accent1 4" xfId="608" xr:uid="{00000000-0005-0000-0000-00000C020000}"/>
    <cellStyle name="60% - Accent1 4 2" xfId="609" xr:uid="{00000000-0005-0000-0000-00000D020000}"/>
    <cellStyle name="60% - Accent1 5" xfId="610" xr:uid="{00000000-0005-0000-0000-00000E020000}"/>
    <cellStyle name="60% - Accent1 5 2" xfId="611" xr:uid="{00000000-0005-0000-0000-00000F020000}"/>
    <cellStyle name="60% - Accent1 6" xfId="612" xr:uid="{00000000-0005-0000-0000-000010020000}"/>
    <cellStyle name="60% - Accent1 6 2" xfId="613" xr:uid="{00000000-0005-0000-0000-000011020000}"/>
    <cellStyle name="60% - Accent1 7" xfId="614" xr:uid="{00000000-0005-0000-0000-000012020000}"/>
    <cellStyle name="60% - Accent1 7 2" xfId="615" xr:uid="{00000000-0005-0000-0000-000013020000}"/>
    <cellStyle name="60% - Accent1 8" xfId="616" xr:uid="{00000000-0005-0000-0000-000014020000}"/>
    <cellStyle name="60% - Accent1 8 2" xfId="617" xr:uid="{00000000-0005-0000-0000-000015020000}"/>
    <cellStyle name="60% - Accent1 9" xfId="618" xr:uid="{00000000-0005-0000-0000-000016020000}"/>
    <cellStyle name="60% - Accent1 9 2" xfId="619" xr:uid="{00000000-0005-0000-0000-000017020000}"/>
    <cellStyle name="60% - Accent2 10" xfId="620" xr:uid="{00000000-0005-0000-0000-000018020000}"/>
    <cellStyle name="60% - Accent2 10 2" xfId="621" xr:uid="{00000000-0005-0000-0000-000019020000}"/>
    <cellStyle name="60% - Accent2 11" xfId="622" xr:uid="{00000000-0005-0000-0000-00001A020000}"/>
    <cellStyle name="60% - Accent2 11 2" xfId="623" xr:uid="{00000000-0005-0000-0000-00001B020000}"/>
    <cellStyle name="60% - Accent2 12" xfId="624" xr:uid="{00000000-0005-0000-0000-00001C020000}"/>
    <cellStyle name="60% - Accent2 12 2" xfId="625" xr:uid="{00000000-0005-0000-0000-00001D020000}"/>
    <cellStyle name="60% - Accent2 13" xfId="626" xr:uid="{00000000-0005-0000-0000-00001E020000}"/>
    <cellStyle name="60% - Accent2 13 2" xfId="627" xr:uid="{00000000-0005-0000-0000-00001F020000}"/>
    <cellStyle name="60% - Accent2 14" xfId="628" xr:uid="{00000000-0005-0000-0000-000020020000}"/>
    <cellStyle name="60% - Accent2 14 2" xfId="629" xr:uid="{00000000-0005-0000-0000-000021020000}"/>
    <cellStyle name="60% - Accent2 15" xfId="630" xr:uid="{00000000-0005-0000-0000-000022020000}"/>
    <cellStyle name="60% - Accent2 15 2" xfId="631" xr:uid="{00000000-0005-0000-0000-000023020000}"/>
    <cellStyle name="60% - Accent2 16" xfId="632" xr:uid="{00000000-0005-0000-0000-000024020000}"/>
    <cellStyle name="60% - Accent2 16 2" xfId="633" xr:uid="{00000000-0005-0000-0000-000025020000}"/>
    <cellStyle name="60% - Accent2 17" xfId="634" xr:uid="{00000000-0005-0000-0000-000026020000}"/>
    <cellStyle name="60% - Accent2 17 2" xfId="635" xr:uid="{00000000-0005-0000-0000-000027020000}"/>
    <cellStyle name="60% - Accent2 18" xfId="636" xr:uid="{00000000-0005-0000-0000-000028020000}"/>
    <cellStyle name="60% - Accent2 18 2" xfId="637" xr:uid="{00000000-0005-0000-0000-000029020000}"/>
    <cellStyle name="60% - Accent2 19" xfId="638" xr:uid="{00000000-0005-0000-0000-00002A020000}"/>
    <cellStyle name="60% - Accent2 2" xfId="639" xr:uid="{00000000-0005-0000-0000-00002B020000}"/>
    <cellStyle name="60% - Accent2 2 2" xfId="640" xr:uid="{00000000-0005-0000-0000-00002C020000}"/>
    <cellStyle name="60% - Accent2 20" xfId="641" xr:uid="{00000000-0005-0000-0000-00002D020000}"/>
    <cellStyle name="60% - Accent2 21" xfId="642" xr:uid="{00000000-0005-0000-0000-00002E020000}"/>
    <cellStyle name="60% - Accent2 22" xfId="643" xr:uid="{00000000-0005-0000-0000-00002F020000}"/>
    <cellStyle name="60% - Accent2 23" xfId="644" xr:uid="{00000000-0005-0000-0000-000030020000}"/>
    <cellStyle name="60% - Accent2 24" xfId="645" xr:uid="{00000000-0005-0000-0000-000031020000}"/>
    <cellStyle name="60% - Accent2 25" xfId="646" xr:uid="{00000000-0005-0000-0000-000032020000}"/>
    <cellStyle name="60% - Accent2 3" xfId="647" xr:uid="{00000000-0005-0000-0000-000033020000}"/>
    <cellStyle name="60% - Accent2 3 2" xfId="648" xr:uid="{00000000-0005-0000-0000-000034020000}"/>
    <cellStyle name="60% - Accent2 4" xfId="649" xr:uid="{00000000-0005-0000-0000-000035020000}"/>
    <cellStyle name="60% - Accent2 4 2" xfId="650" xr:uid="{00000000-0005-0000-0000-000036020000}"/>
    <cellStyle name="60% - Accent2 5" xfId="651" xr:uid="{00000000-0005-0000-0000-000037020000}"/>
    <cellStyle name="60% - Accent2 5 2" xfId="652" xr:uid="{00000000-0005-0000-0000-000038020000}"/>
    <cellStyle name="60% - Accent2 6" xfId="653" xr:uid="{00000000-0005-0000-0000-000039020000}"/>
    <cellStyle name="60% - Accent2 6 2" xfId="654" xr:uid="{00000000-0005-0000-0000-00003A020000}"/>
    <cellStyle name="60% - Accent2 7" xfId="655" xr:uid="{00000000-0005-0000-0000-00003B020000}"/>
    <cellStyle name="60% - Accent2 7 2" xfId="656" xr:uid="{00000000-0005-0000-0000-00003C020000}"/>
    <cellStyle name="60% - Accent2 8" xfId="657" xr:uid="{00000000-0005-0000-0000-00003D020000}"/>
    <cellStyle name="60% - Accent2 8 2" xfId="658" xr:uid="{00000000-0005-0000-0000-00003E020000}"/>
    <cellStyle name="60% - Accent2 9" xfId="659" xr:uid="{00000000-0005-0000-0000-00003F020000}"/>
    <cellStyle name="60% - Accent2 9 2" xfId="660" xr:uid="{00000000-0005-0000-0000-000040020000}"/>
    <cellStyle name="60% - Accent3 10" xfId="661" xr:uid="{00000000-0005-0000-0000-000041020000}"/>
    <cellStyle name="60% - Accent3 10 2" xfId="662" xr:uid="{00000000-0005-0000-0000-000042020000}"/>
    <cellStyle name="60% - Accent3 11" xfId="663" xr:uid="{00000000-0005-0000-0000-000043020000}"/>
    <cellStyle name="60% - Accent3 11 2" xfId="664" xr:uid="{00000000-0005-0000-0000-000044020000}"/>
    <cellStyle name="60% - Accent3 12" xfId="665" xr:uid="{00000000-0005-0000-0000-000045020000}"/>
    <cellStyle name="60% - Accent3 12 2" xfId="666" xr:uid="{00000000-0005-0000-0000-000046020000}"/>
    <cellStyle name="60% - Accent3 13" xfId="667" xr:uid="{00000000-0005-0000-0000-000047020000}"/>
    <cellStyle name="60% - Accent3 13 2" xfId="668" xr:uid="{00000000-0005-0000-0000-000048020000}"/>
    <cellStyle name="60% - Accent3 14" xfId="669" xr:uid="{00000000-0005-0000-0000-000049020000}"/>
    <cellStyle name="60% - Accent3 14 2" xfId="670" xr:uid="{00000000-0005-0000-0000-00004A020000}"/>
    <cellStyle name="60% - Accent3 15" xfId="671" xr:uid="{00000000-0005-0000-0000-00004B020000}"/>
    <cellStyle name="60% - Accent3 15 2" xfId="672" xr:uid="{00000000-0005-0000-0000-00004C020000}"/>
    <cellStyle name="60% - Accent3 16" xfId="673" xr:uid="{00000000-0005-0000-0000-00004D020000}"/>
    <cellStyle name="60% - Accent3 16 2" xfId="674" xr:uid="{00000000-0005-0000-0000-00004E020000}"/>
    <cellStyle name="60% - Accent3 17" xfId="675" xr:uid="{00000000-0005-0000-0000-00004F020000}"/>
    <cellStyle name="60% - Accent3 17 2" xfId="676" xr:uid="{00000000-0005-0000-0000-000050020000}"/>
    <cellStyle name="60% - Accent3 18" xfId="677" xr:uid="{00000000-0005-0000-0000-000051020000}"/>
    <cellStyle name="60% - Accent3 18 2" xfId="678" xr:uid="{00000000-0005-0000-0000-000052020000}"/>
    <cellStyle name="60% - Accent3 19" xfId="679" xr:uid="{00000000-0005-0000-0000-000053020000}"/>
    <cellStyle name="60% - Accent3 2" xfId="680" xr:uid="{00000000-0005-0000-0000-000054020000}"/>
    <cellStyle name="60% - Accent3 2 2" xfId="681" xr:uid="{00000000-0005-0000-0000-000055020000}"/>
    <cellStyle name="60% - Accent3 20" xfId="682" xr:uid="{00000000-0005-0000-0000-000056020000}"/>
    <cellStyle name="60% - Accent3 21" xfId="683" xr:uid="{00000000-0005-0000-0000-000057020000}"/>
    <cellStyle name="60% - Accent3 22" xfId="684" xr:uid="{00000000-0005-0000-0000-000058020000}"/>
    <cellStyle name="60% - Accent3 23" xfId="685" xr:uid="{00000000-0005-0000-0000-000059020000}"/>
    <cellStyle name="60% - Accent3 24" xfId="686" xr:uid="{00000000-0005-0000-0000-00005A020000}"/>
    <cellStyle name="60% - Accent3 25" xfId="687" xr:uid="{00000000-0005-0000-0000-00005B020000}"/>
    <cellStyle name="60% - Accent3 3" xfId="688" xr:uid="{00000000-0005-0000-0000-00005C020000}"/>
    <cellStyle name="60% - Accent3 3 2" xfId="689" xr:uid="{00000000-0005-0000-0000-00005D020000}"/>
    <cellStyle name="60% - Accent3 4" xfId="690" xr:uid="{00000000-0005-0000-0000-00005E020000}"/>
    <cellStyle name="60% - Accent3 4 2" xfId="691" xr:uid="{00000000-0005-0000-0000-00005F020000}"/>
    <cellStyle name="60% - Accent3 5" xfId="692" xr:uid="{00000000-0005-0000-0000-000060020000}"/>
    <cellStyle name="60% - Accent3 5 2" xfId="693" xr:uid="{00000000-0005-0000-0000-000061020000}"/>
    <cellStyle name="60% - Accent3 6" xfId="694" xr:uid="{00000000-0005-0000-0000-000062020000}"/>
    <cellStyle name="60% - Accent3 6 2" xfId="695" xr:uid="{00000000-0005-0000-0000-000063020000}"/>
    <cellStyle name="60% - Accent3 7" xfId="696" xr:uid="{00000000-0005-0000-0000-000064020000}"/>
    <cellStyle name="60% - Accent3 7 2" xfId="697" xr:uid="{00000000-0005-0000-0000-000065020000}"/>
    <cellStyle name="60% - Accent3 8" xfId="698" xr:uid="{00000000-0005-0000-0000-000066020000}"/>
    <cellStyle name="60% - Accent3 8 2" xfId="699" xr:uid="{00000000-0005-0000-0000-000067020000}"/>
    <cellStyle name="60% - Accent3 9" xfId="700" xr:uid="{00000000-0005-0000-0000-000068020000}"/>
    <cellStyle name="60% - Accent3 9 2" xfId="701" xr:uid="{00000000-0005-0000-0000-000069020000}"/>
    <cellStyle name="60% - Accent4 10" xfId="702" xr:uid="{00000000-0005-0000-0000-00006A020000}"/>
    <cellStyle name="60% - Accent4 10 2" xfId="703" xr:uid="{00000000-0005-0000-0000-00006B020000}"/>
    <cellStyle name="60% - Accent4 11" xfId="704" xr:uid="{00000000-0005-0000-0000-00006C020000}"/>
    <cellStyle name="60% - Accent4 11 2" xfId="705" xr:uid="{00000000-0005-0000-0000-00006D020000}"/>
    <cellStyle name="60% - Accent4 12" xfId="706" xr:uid="{00000000-0005-0000-0000-00006E020000}"/>
    <cellStyle name="60% - Accent4 12 2" xfId="707" xr:uid="{00000000-0005-0000-0000-00006F020000}"/>
    <cellStyle name="60% - Accent4 13" xfId="708" xr:uid="{00000000-0005-0000-0000-000070020000}"/>
    <cellStyle name="60% - Accent4 13 2" xfId="709" xr:uid="{00000000-0005-0000-0000-000071020000}"/>
    <cellStyle name="60% - Accent4 14" xfId="710" xr:uid="{00000000-0005-0000-0000-000072020000}"/>
    <cellStyle name="60% - Accent4 14 2" xfId="711" xr:uid="{00000000-0005-0000-0000-000073020000}"/>
    <cellStyle name="60% - Accent4 15" xfId="712" xr:uid="{00000000-0005-0000-0000-000074020000}"/>
    <cellStyle name="60% - Accent4 15 2" xfId="713" xr:uid="{00000000-0005-0000-0000-000075020000}"/>
    <cellStyle name="60% - Accent4 16" xfId="714" xr:uid="{00000000-0005-0000-0000-000076020000}"/>
    <cellStyle name="60% - Accent4 16 2" xfId="715" xr:uid="{00000000-0005-0000-0000-000077020000}"/>
    <cellStyle name="60% - Accent4 17" xfId="716" xr:uid="{00000000-0005-0000-0000-000078020000}"/>
    <cellStyle name="60% - Accent4 17 2" xfId="717" xr:uid="{00000000-0005-0000-0000-000079020000}"/>
    <cellStyle name="60% - Accent4 18" xfId="718" xr:uid="{00000000-0005-0000-0000-00007A020000}"/>
    <cellStyle name="60% - Accent4 18 2" xfId="719" xr:uid="{00000000-0005-0000-0000-00007B020000}"/>
    <cellStyle name="60% - Accent4 19" xfId="720" xr:uid="{00000000-0005-0000-0000-00007C020000}"/>
    <cellStyle name="60% - Accent4 2" xfId="721" xr:uid="{00000000-0005-0000-0000-00007D020000}"/>
    <cellStyle name="60% - Accent4 2 2" xfId="722" xr:uid="{00000000-0005-0000-0000-00007E020000}"/>
    <cellStyle name="60% - Accent4 20" xfId="723" xr:uid="{00000000-0005-0000-0000-00007F020000}"/>
    <cellStyle name="60% - Accent4 21" xfId="724" xr:uid="{00000000-0005-0000-0000-000080020000}"/>
    <cellStyle name="60% - Accent4 22" xfId="725" xr:uid="{00000000-0005-0000-0000-000081020000}"/>
    <cellStyle name="60% - Accent4 23" xfId="726" xr:uid="{00000000-0005-0000-0000-000082020000}"/>
    <cellStyle name="60% - Accent4 24" xfId="727" xr:uid="{00000000-0005-0000-0000-000083020000}"/>
    <cellStyle name="60% - Accent4 25" xfId="728" xr:uid="{00000000-0005-0000-0000-000084020000}"/>
    <cellStyle name="60% - Accent4 3" xfId="729" xr:uid="{00000000-0005-0000-0000-000085020000}"/>
    <cellStyle name="60% - Accent4 3 2" xfId="730" xr:uid="{00000000-0005-0000-0000-000086020000}"/>
    <cellStyle name="60% - Accent4 4" xfId="731" xr:uid="{00000000-0005-0000-0000-000087020000}"/>
    <cellStyle name="60% - Accent4 4 2" xfId="732" xr:uid="{00000000-0005-0000-0000-000088020000}"/>
    <cellStyle name="60% - Accent4 5" xfId="733" xr:uid="{00000000-0005-0000-0000-000089020000}"/>
    <cellStyle name="60% - Accent4 5 2" xfId="734" xr:uid="{00000000-0005-0000-0000-00008A020000}"/>
    <cellStyle name="60% - Accent4 6" xfId="735" xr:uid="{00000000-0005-0000-0000-00008B020000}"/>
    <cellStyle name="60% - Accent4 6 2" xfId="736" xr:uid="{00000000-0005-0000-0000-00008C020000}"/>
    <cellStyle name="60% - Accent4 7" xfId="737" xr:uid="{00000000-0005-0000-0000-00008D020000}"/>
    <cellStyle name="60% - Accent4 7 2" xfId="738" xr:uid="{00000000-0005-0000-0000-00008E020000}"/>
    <cellStyle name="60% - Accent4 8" xfId="739" xr:uid="{00000000-0005-0000-0000-00008F020000}"/>
    <cellStyle name="60% - Accent4 8 2" xfId="740" xr:uid="{00000000-0005-0000-0000-000090020000}"/>
    <cellStyle name="60% - Accent4 9" xfId="741" xr:uid="{00000000-0005-0000-0000-000091020000}"/>
    <cellStyle name="60% - Accent4 9 2" xfId="742" xr:uid="{00000000-0005-0000-0000-000092020000}"/>
    <cellStyle name="60% - Accent5 10" xfId="743" xr:uid="{00000000-0005-0000-0000-000093020000}"/>
    <cellStyle name="60% - Accent5 10 2" xfId="744" xr:uid="{00000000-0005-0000-0000-000094020000}"/>
    <cellStyle name="60% - Accent5 11" xfId="745" xr:uid="{00000000-0005-0000-0000-000095020000}"/>
    <cellStyle name="60% - Accent5 11 2" xfId="746" xr:uid="{00000000-0005-0000-0000-000096020000}"/>
    <cellStyle name="60% - Accent5 12" xfId="747" xr:uid="{00000000-0005-0000-0000-000097020000}"/>
    <cellStyle name="60% - Accent5 12 2" xfId="748" xr:uid="{00000000-0005-0000-0000-000098020000}"/>
    <cellStyle name="60% - Accent5 13" xfId="749" xr:uid="{00000000-0005-0000-0000-000099020000}"/>
    <cellStyle name="60% - Accent5 13 2" xfId="750" xr:uid="{00000000-0005-0000-0000-00009A020000}"/>
    <cellStyle name="60% - Accent5 14" xfId="751" xr:uid="{00000000-0005-0000-0000-00009B020000}"/>
    <cellStyle name="60% - Accent5 14 2" xfId="752" xr:uid="{00000000-0005-0000-0000-00009C020000}"/>
    <cellStyle name="60% - Accent5 15" xfId="753" xr:uid="{00000000-0005-0000-0000-00009D020000}"/>
    <cellStyle name="60% - Accent5 15 2" xfId="754" xr:uid="{00000000-0005-0000-0000-00009E020000}"/>
    <cellStyle name="60% - Accent5 16" xfId="755" xr:uid="{00000000-0005-0000-0000-00009F020000}"/>
    <cellStyle name="60% - Accent5 16 2" xfId="756" xr:uid="{00000000-0005-0000-0000-0000A0020000}"/>
    <cellStyle name="60% - Accent5 17" xfId="757" xr:uid="{00000000-0005-0000-0000-0000A1020000}"/>
    <cellStyle name="60% - Accent5 17 2" xfId="758" xr:uid="{00000000-0005-0000-0000-0000A2020000}"/>
    <cellStyle name="60% - Accent5 18" xfId="759" xr:uid="{00000000-0005-0000-0000-0000A3020000}"/>
    <cellStyle name="60% - Accent5 18 2" xfId="760" xr:uid="{00000000-0005-0000-0000-0000A4020000}"/>
    <cellStyle name="60% - Accent5 19" xfId="761" xr:uid="{00000000-0005-0000-0000-0000A5020000}"/>
    <cellStyle name="60% - Accent5 2" xfId="762" xr:uid="{00000000-0005-0000-0000-0000A6020000}"/>
    <cellStyle name="60% - Accent5 2 2" xfId="763" xr:uid="{00000000-0005-0000-0000-0000A7020000}"/>
    <cellStyle name="60% - Accent5 20" xfId="764" xr:uid="{00000000-0005-0000-0000-0000A8020000}"/>
    <cellStyle name="60% - Accent5 21" xfId="765" xr:uid="{00000000-0005-0000-0000-0000A9020000}"/>
    <cellStyle name="60% - Accent5 22" xfId="766" xr:uid="{00000000-0005-0000-0000-0000AA020000}"/>
    <cellStyle name="60% - Accent5 23" xfId="767" xr:uid="{00000000-0005-0000-0000-0000AB020000}"/>
    <cellStyle name="60% - Accent5 24" xfId="768" xr:uid="{00000000-0005-0000-0000-0000AC020000}"/>
    <cellStyle name="60% - Accent5 25" xfId="769" xr:uid="{00000000-0005-0000-0000-0000AD020000}"/>
    <cellStyle name="60% - Accent5 3" xfId="770" xr:uid="{00000000-0005-0000-0000-0000AE020000}"/>
    <cellStyle name="60% - Accent5 3 2" xfId="771" xr:uid="{00000000-0005-0000-0000-0000AF020000}"/>
    <cellStyle name="60% - Accent5 4" xfId="772" xr:uid="{00000000-0005-0000-0000-0000B0020000}"/>
    <cellStyle name="60% - Accent5 4 2" xfId="773" xr:uid="{00000000-0005-0000-0000-0000B1020000}"/>
    <cellStyle name="60% - Accent5 5" xfId="774" xr:uid="{00000000-0005-0000-0000-0000B2020000}"/>
    <cellStyle name="60% - Accent5 5 2" xfId="775" xr:uid="{00000000-0005-0000-0000-0000B3020000}"/>
    <cellStyle name="60% - Accent5 6" xfId="776" xr:uid="{00000000-0005-0000-0000-0000B4020000}"/>
    <cellStyle name="60% - Accent5 6 2" xfId="777" xr:uid="{00000000-0005-0000-0000-0000B5020000}"/>
    <cellStyle name="60% - Accent5 7" xfId="778" xr:uid="{00000000-0005-0000-0000-0000B6020000}"/>
    <cellStyle name="60% - Accent5 7 2" xfId="779" xr:uid="{00000000-0005-0000-0000-0000B7020000}"/>
    <cellStyle name="60% - Accent5 8" xfId="780" xr:uid="{00000000-0005-0000-0000-0000B8020000}"/>
    <cellStyle name="60% - Accent5 8 2" xfId="781" xr:uid="{00000000-0005-0000-0000-0000B9020000}"/>
    <cellStyle name="60% - Accent5 9" xfId="782" xr:uid="{00000000-0005-0000-0000-0000BA020000}"/>
    <cellStyle name="60% - Accent5 9 2" xfId="783" xr:uid="{00000000-0005-0000-0000-0000BB020000}"/>
    <cellStyle name="60% - Accent6 10" xfId="784" xr:uid="{00000000-0005-0000-0000-0000BC020000}"/>
    <cellStyle name="60% - Accent6 10 2" xfId="785" xr:uid="{00000000-0005-0000-0000-0000BD020000}"/>
    <cellStyle name="60% - Accent6 11" xfId="786" xr:uid="{00000000-0005-0000-0000-0000BE020000}"/>
    <cellStyle name="60% - Accent6 11 2" xfId="787" xr:uid="{00000000-0005-0000-0000-0000BF020000}"/>
    <cellStyle name="60% - Accent6 12" xfId="788" xr:uid="{00000000-0005-0000-0000-0000C0020000}"/>
    <cellStyle name="60% - Accent6 12 2" xfId="789" xr:uid="{00000000-0005-0000-0000-0000C1020000}"/>
    <cellStyle name="60% - Accent6 13" xfId="790" xr:uid="{00000000-0005-0000-0000-0000C2020000}"/>
    <cellStyle name="60% - Accent6 13 2" xfId="791" xr:uid="{00000000-0005-0000-0000-0000C3020000}"/>
    <cellStyle name="60% - Accent6 14" xfId="792" xr:uid="{00000000-0005-0000-0000-0000C4020000}"/>
    <cellStyle name="60% - Accent6 14 2" xfId="793" xr:uid="{00000000-0005-0000-0000-0000C5020000}"/>
    <cellStyle name="60% - Accent6 15" xfId="794" xr:uid="{00000000-0005-0000-0000-0000C6020000}"/>
    <cellStyle name="60% - Accent6 15 2" xfId="795" xr:uid="{00000000-0005-0000-0000-0000C7020000}"/>
    <cellStyle name="60% - Accent6 16" xfId="796" xr:uid="{00000000-0005-0000-0000-0000C8020000}"/>
    <cellStyle name="60% - Accent6 16 2" xfId="797" xr:uid="{00000000-0005-0000-0000-0000C9020000}"/>
    <cellStyle name="60% - Accent6 17" xfId="798" xr:uid="{00000000-0005-0000-0000-0000CA020000}"/>
    <cellStyle name="60% - Accent6 17 2" xfId="799" xr:uid="{00000000-0005-0000-0000-0000CB020000}"/>
    <cellStyle name="60% - Accent6 18" xfId="800" xr:uid="{00000000-0005-0000-0000-0000CC020000}"/>
    <cellStyle name="60% - Accent6 18 2" xfId="801" xr:uid="{00000000-0005-0000-0000-0000CD020000}"/>
    <cellStyle name="60% - Accent6 19" xfId="802" xr:uid="{00000000-0005-0000-0000-0000CE020000}"/>
    <cellStyle name="60% - Accent6 2" xfId="803" xr:uid="{00000000-0005-0000-0000-0000CF020000}"/>
    <cellStyle name="60% - Accent6 2 2" xfId="804" xr:uid="{00000000-0005-0000-0000-0000D0020000}"/>
    <cellStyle name="60% - Accent6 20" xfId="805" xr:uid="{00000000-0005-0000-0000-0000D1020000}"/>
    <cellStyle name="60% - Accent6 21" xfId="806" xr:uid="{00000000-0005-0000-0000-0000D2020000}"/>
    <cellStyle name="60% - Accent6 22" xfId="807" xr:uid="{00000000-0005-0000-0000-0000D3020000}"/>
    <cellStyle name="60% - Accent6 23" xfId="808" xr:uid="{00000000-0005-0000-0000-0000D4020000}"/>
    <cellStyle name="60% - Accent6 24" xfId="809" xr:uid="{00000000-0005-0000-0000-0000D5020000}"/>
    <cellStyle name="60% - Accent6 25" xfId="810" xr:uid="{00000000-0005-0000-0000-0000D6020000}"/>
    <cellStyle name="60% - Accent6 3" xfId="811" xr:uid="{00000000-0005-0000-0000-0000D7020000}"/>
    <cellStyle name="60% - Accent6 3 2" xfId="812" xr:uid="{00000000-0005-0000-0000-0000D8020000}"/>
    <cellStyle name="60% - Accent6 4" xfId="813" xr:uid="{00000000-0005-0000-0000-0000D9020000}"/>
    <cellStyle name="60% - Accent6 4 2" xfId="814" xr:uid="{00000000-0005-0000-0000-0000DA020000}"/>
    <cellStyle name="60% - Accent6 5" xfId="815" xr:uid="{00000000-0005-0000-0000-0000DB020000}"/>
    <cellStyle name="60% - Accent6 5 2" xfId="816" xr:uid="{00000000-0005-0000-0000-0000DC020000}"/>
    <cellStyle name="60% - Accent6 6" xfId="817" xr:uid="{00000000-0005-0000-0000-0000DD020000}"/>
    <cellStyle name="60% - Accent6 6 2" xfId="818" xr:uid="{00000000-0005-0000-0000-0000DE020000}"/>
    <cellStyle name="60% - Accent6 7" xfId="819" xr:uid="{00000000-0005-0000-0000-0000DF020000}"/>
    <cellStyle name="60% - Accent6 7 2" xfId="820" xr:uid="{00000000-0005-0000-0000-0000E0020000}"/>
    <cellStyle name="60% - Accent6 8" xfId="821" xr:uid="{00000000-0005-0000-0000-0000E1020000}"/>
    <cellStyle name="60% - Accent6 8 2" xfId="822" xr:uid="{00000000-0005-0000-0000-0000E2020000}"/>
    <cellStyle name="60% - Accent6 9" xfId="823" xr:uid="{00000000-0005-0000-0000-0000E3020000}"/>
    <cellStyle name="60% - Accent6 9 2" xfId="824" xr:uid="{00000000-0005-0000-0000-0000E4020000}"/>
    <cellStyle name="Accent1 10" xfId="825" xr:uid="{00000000-0005-0000-0000-0000E5020000}"/>
    <cellStyle name="Accent1 10 2" xfId="826" xr:uid="{00000000-0005-0000-0000-0000E6020000}"/>
    <cellStyle name="Accent1 11" xfId="827" xr:uid="{00000000-0005-0000-0000-0000E7020000}"/>
    <cellStyle name="Accent1 11 2" xfId="828" xr:uid="{00000000-0005-0000-0000-0000E8020000}"/>
    <cellStyle name="Accent1 12" xfId="829" xr:uid="{00000000-0005-0000-0000-0000E9020000}"/>
    <cellStyle name="Accent1 12 2" xfId="830" xr:uid="{00000000-0005-0000-0000-0000EA020000}"/>
    <cellStyle name="Accent1 13" xfId="831" xr:uid="{00000000-0005-0000-0000-0000EB020000}"/>
    <cellStyle name="Accent1 13 2" xfId="832" xr:uid="{00000000-0005-0000-0000-0000EC020000}"/>
    <cellStyle name="Accent1 14" xfId="833" xr:uid="{00000000-0005-0000-0000-0000ED020000}"/>
    <cellStyle name="Accent1 14 2" xfId="834" xr:uid="{00000000-0005-0000-0000-0000EE020000}"/>
    <cellStyle name="Accent1 15" xfId="835" xr:uid="{00000000-0005-0000-0000-0000EF020000}"/>
    <cellStyle name="Accent1 15 2" xfId="836" xr:uid="{00000000-0005-0000-0000-0000F0020000}"/>
    <cellStyle name="Accent1 16" xfId="837" xr:uid="{00000000-0005-0000-0000-0000F1020000}"/>
    <cellStyle name="Accent1 16 2" xfId="838" xr:uid="{00000000-0005-0000-0000-0000F2020000}"/>
    <cellStyle name="Accent1 17" xfId="839" xr:uid="{00000000-0005-0000-0000-0000F3020000}"/>
    <cellStyle name="Accent1 17 2" xfId="840" xr:uid="{00000000-0005-0000-0000-0000F4020000}"/>
    <cellStyle name="Accent1 18" xfId="841" xr:uid="{00000000-0005-0000-0000-0000F5020000}"/>
    <cellStyle name="Accent1 18 2" xfId="842" xr:uid="{00000000-0005-0000-0000-0000F6020000}"/>
    <cellStyle name="Accent1 19" xfId="843" xr:uid="{00000000-0005-0000-0000-0000F7020000}"/>
    <cellStyle name="Accent1 2" xfId="844" xr:uid="{00000000-0005-0000-0000-0000F8020000}"/>
    <cellStyle name="Accent1 2 2" xfId="845" xr:uid="{00000000-0005-0000-0000-0000F9020000}"/>
    <cellStyle name="Accent1 20" xfId="846" xr:uid="{00000000-0005-0000-0000-0000FA020000}"/>
    <cellStyle name="Accent1 21" xfId="847" xr:uid="{00000000-0005-0000-0000-0000FB020000}"/>
    <cellStyle name="Accent1 22" xfId="848" xr:uid="{00000000-0005-0000-0000-0000FC020000}"/>
    <cellStyle name="Accent1 23" xfId="849" xr:uid="{00000000-0005-0000-0000-0000FD020000}"/>
    <cellStyle name="Accent1 24" xfId="850" xr:uid="{00000000-0005-0000-0000-0000FE020000}"/>
    <cellStyle name="Accent1 25" xfId="851" xr:uid="{00000000-0005-0000-0000-0000FF020000}"/>
    <cellStyle name="Accent1 3" xfId="852" xr:uid="{00000000-0005-0000-0000-000000030000}"/>
    <cellStyle name="Accent1 3 2" xfId="853" xr:uid="{00000000-0005-0000-0000-000001030000}"/>
    <cellStyle name="Accent1 4" xfId="854" xr:uid="{00000000-0005-0000-0000-000002030000}"/>
    <cellStyle name="Accent1 4 2" xfId="855" xr:uid="{00000000-0005-0000-0000-000003030000}"/>
    <cellStyle name="Accent1 5" xfId="856" xr:uid="{00000000-0005-0000-0000-000004030000}"/>
    <cellStyle name="Accent1 5 2" xfId="857" xr:uid="{00000000-0005-0000-0000-000005030000}"/>
    <cellStyle name="Accent1 6" xfId="858" xr:uid="{00000000-0005-0000-0000-000006030000}"/>
    <cellStyle name="Accent1 6 2" xfId="859" xr:uid="{00000000-0005-0000-0000-000007030000}"/>
    <cellStyle name="Accent1 7" xfId="860" xr:uid="{00000000-0005-0000-0000-000008030000}"/>
    <cellStyle name="Accent1 7 2" xfId="861" xr:uid="{00000000-0005-0000-0000-000009030000}"/>
    <cellStyle name="Accent1 8" xfId="862" xr:uid="{00000000-0005-0000-0000-00000A030000}"/>
    <cellStyle name="Accent1 8 2" xfId="863" xr:uid="{00000000-0005-0000-0000-00000B030000}"/>
    <cellStyle name="Accent1 9" xfId="864" xr:uid="{00000000-0005-0000-0000-00000C030000}"/>
    <cellStyle name="Accent1 9 2" xfId="865" xr:uid="{00000000-0005-0000-0000-00000D030000}"/>
    <cellStyle name="Accent2 10" xfId="866" xr:uid="{00000000-0005-0000-0000-00000E030000}"/>
    <cellStyle name="Accent2 10 2" xfId="867" xr:uid="{00000000-0005-0000-0000-00000F030000}"/>
    <cellStyle name="Accent2 11" xfId="868" xr:uid="{00000000-0005-0000-0000-000010030000}"/>
    <cellStyle name="Accent2 11 2" xfId="869" xr:uid="{00000000-0005-0000-0000-000011030000}"/>
    <cellStyle name="Accent2 12" xfId="870" xr:uid="{00000000-0005-0000-0000-000012030000}"/>
    <cellStyle name="Accent2 12 2" xfId="871" xr:uid="{00000000-0005-0000-0000-000013030000}"/>
    <cellStyle name="Accent2 13" xfId="872" xr:uid="{00000000-0005-0000-0000-000014030000}"/>
    <cellStyle name="Accent2 13 2" xfId="873" xr:uid="{00000000-0005-0000-0000-000015030000}"/>
    <cellStyle name="Accent2 14" xfId="874" xr:uid="{00000000-0005-0000-0000-000016030000}"/>
    <cellStyle name="Accent2 14 2" xfId="875" xr:uid="{00000000-0005-0000-0000-000017030000}"/>
    <cellStyle name="Accent2 15" xfId="876" xr:uid="{00000000-0005-0000-0000-000018030000}"/>
    <cellStyle name="Accent2 15 2" xfId="877" xr:uid="{00000000-0005-0000-0000-000019030000}"/>
    <cellStyle name="Accent2 16" xfId="878" xr:uid="{00000000-0005-0000-0000-00001A030000}"/>
    <cellStyle name="Accent2 16 2" xfId="879" xr:uid="{00000000-0005-0000-0000-00001B030000}"/>
    <cellStyle name="Accent2 17" xfId="880" xr:uid="{00000000-0005-0000-0000-00001C030000}"/>
    <cellStyle name="Accent2 17 2" xfId="881" xr:uid="{00000000-0005-0000-0000-00001D030000}"/>
    <cellStyle name="Accent2 18" xfId="882" xr:uid="{00000000-0005-0000-0000-00001E030000}"/>
    <cellStyle name="Accent2 18 2" xfId="883" xr:uid="{00000000-0005-0000-0000-00001F030000}"/>
    <cellStyle name="Accent2 19" xfId="884" xr:uid="{00000000-0005-0000-0000-000020030000}"/>
    <cellStyle name="Accent2 2" xfId="885" xr:uid="{00000000-0005-0000-0000-000021030000}"/>
    <cellStyle name="Accent2 2 2" xfId="886" xr:uid="{00000000-0005-0000-0000-000022030000}"/>
    <cellStyle name="Accent2 20" xfId="887" xr:uid="{00000000-0005-0000-0000-000023030000}"/>
    <cellStyle name="Accent2 21" xfId="888" xr:uid="{00000000-0005-0000-0000-000024030000}"/>
    <cellStyle name="Accent2 22" xfId="889" xr:uid="{00000000-0005-0000-0000-000025030000}"/>
    <cellStyle name="Accent2 23" xfId="890" xr:uid="{00000000-0005-0000-0000-000026030000}"/>
    <cellStyle name="Accent2 24" xfId="891" xr:uid="{00000000-0005-0000-0000-000027030000}"/>
    <cellStyle name="Accent2 25" xfId="892" xr:uid="{00000000-0005-0000-0000-000028030000}"/>
    <cellStyle name="Accent2 3" xfId="893" xr:uid="{00000000-0005-0000-0000-000029030000}"/>
    <cellStyle name="Accent2 3 2" xfId="894" xr:uid="{00000000-0005-0000-0000-00002A030000}"/>
    <cellStyle name="Accent2 4" xfId="895" xr:uid="{00000000-0005-0000-0000-00002B030000}"/>
    <cellStyle name="Accent2 4 2" xfId="896" xr:uid="{00000000-0005-0000-0000-00002C030000}"/>
    <cellStyle name="Accent2 5" xfId="897" xr:uid="{00000000-0005-0000-0000-00002D030000}"/>
    <cellStyle name="Accent2 5 2" xfId="898" xr:uid="{00000000-0005-0000-0000-00002E030000}"/>
    <cellStyle name="Accent2 6" xfId="899" xr:uid="{00000000-0005-0000-0000-00002F030000}"/>
    <cellStyle name="Accent2 6 2" xfId="900" xr:uid="{00000000-0005-0000-0000-000030030000}"/>
    <cellStyle name="Accent2 7" xfId="901" xr:uid="{00000000-0005-0000-0000-000031030000}"/>
    <cellStyle name="Accent2 7 2" xfId="902" xr:uid="{00000000-0005-0000-0000-000032030000}"/>
    <cellStyle name="Accent2 8" xfId="903" xr:uid="{00000000-0005-0000-0000-000033030000}"/>
    <cellStyle name="Accent2 8 2" xfId="904" xr:uid="{00000000-0005-0000-0000-000034030000}"/>
    <cellStyle name="Accent2 9" xfId="905" xr:uid="{00000000-0005-0000-0000-000035030000}"/>
    <cellStyle name="Accent2 9 2" xfId="906" xr:uid="{00000000-0005-0000-0000-000036030000}"/>
    <cellStyle name="Accent3 10" xfId="907" xr:uid="{00000000-0005-0000-0000-000037030000}"/>
    <cellStyle name="Accent3 10 2" xfId="908" xr:uid="{00000000-0005-0000-0000-000038030000}"/>
    <cellStyle name="Accent3 11" xfId="909" xr:uid="{00000000-0005-0000-0000-000039030000}"/>
    <cellStyle name="Accent3 11 2" xfId="910" xr:uid="{00000000-0005-0000-0000-00003A030000}"/>
    <cellStyle name="Accent3 12" xfId="911" xr:uid="{00000000-0005-0000-0000-00003B030000}"/>
    <cellStyle name="Accent3 12 2" xfId="912" xr:uid="{00000000-0005-0000-0000-00003C030000}"/>
    <cellStyle name="Accent3 13" xfId="913" xr:uid="{00000000-0005-0000-0000-00003D030000}"/>
    <cellStyle name="Accent3 13 2" xfId="914" xr:uid="{00000000-0005-0000-0000-00003E030000}"/>
    <cellStyle name="Accent3 14" xfId="915" xr:uid="{00000000-0005-0000-0000-00003F030000}"/>
    <cellStyle name="Accent3 14 2" xfId="916" xr:uid="{00000000-0005-0000-0000-000040030000}"/>
    <cellStyle name="Accent3 15" xfId="917" xr:uid="{00000000-0005-0000-0000-000041030000}"/>
    <cellStyle name="Accent3 15 2" xfId="918" xr:uid="{00000000-0005-0000-0000-000042030000}"/>
    <cellStyle name="Accent3 16" xfId="919" xr:uid="{00000000-0005-0000-0000-000043030000}"/>
    <cellStyle name="Accent3 16 2" xfId="920" xr:uid="{00000000-0005-0000-0000-000044030000}"/>
    <cellStyle name="Accent3 17" xfId="921" xr:uid="{00000000-0005-0000-0000-000045030000}"/>
    <cellStyle name="Accent3 17 2" xfId="922" xr:uid="{00000000-0005-0000-0000-000046030000}"/>
    <cellStyle name="Accent3 18" xfId="923" xr:uid="{00000000-0005-0000-0000-000047030000}"/>
    <cellStyle name="Accent3 18 2" xfId="924" xr:uid="{00000000-0005-0000-0000-000048030000}"/>
    <cellStyle name="Accent3 19" xfId="925" xr:uid="{00000000-0005-0000-0000-000049030000}"/>
    <cellStyle name="Accent3 2" xfId="926" xr:uid="{00000000-0005-0000-0000-00004A030000}"/>
    <cellStyle name="Accent3 2 2" xfId="927" xr:uid="{00000000-0005-0000-0000-00004B030000}"/>
    <cellStyle name="Accent3 20" xfId="928" xr:uid="{00000000-0005-0000-0000-00004C030000}"/>
    <cellStyle name="Accent3 21" xfId="929" xr:uid="{00000000-0005-0000-0000-00004D030000}"/>
    <cellStyle name="Accent3 22" xfId="930" xr:uid="{00000000-0005-0000-0000-00004E030000}"/>
    <cellStyle name="Accent3 23" xfId="931" xr:uid="{00000000-0005-0000-0000-00004F030000}"/>
    <cellStyle name="Accent3 24" xfId="932" xr:uid="{00000000-0005-0000-0000-000050030000}"/>
    <cellStyle name="Accent3 25" xfId="933" xr:uid="{00000000-0005-0000-0000-000051030000}"/>
    <cellStyle name="Accent3 3" xfId="934" xr:uid="{00000000-0005-0000-0000-000052030000}"/>
    <cellStyle name="Accent3 3 2" xfId="935" xr:uid="{00000000-0005-0000-0000-000053030000}"/>
    <cellStyle name="Accent3 4" xfId="936" xr:uid="{00000000-0005-0000-0000-000054030000}"/>
    <cellStyle name="Accent3 4 2" xfId="937" xr:uid="{00000000-0005-0000-0000-000055030000}"/>
    <cellStyle name="Accent3 5" xfId="938" xr:uid="{00000000-0005-0000-0000-000056030000}"/>
    <cellStyle name="Accent3 5 2" xfId="939" xr:uid="{00000000-0005-0000-0000-000057030000}"/>
    <cellStyle name="Accent3 6" xfId="940" xr:uid="{00000000-0005-0000-0000-000058030000}"/>
    <cellStyle name="Accent3 6 2" xfId="941" xr:uid="{00000000-0005-0000-0000-000059030000}"/>
    <cellStyle name="Accent3 7" xfId="942" xr:uid="{00000000-0005-0000-0000-00005A030000}"/>
    <cellStyle name="Accent3 7 2" xfId="943" xr:uid="{00000000-0005-0000-0000-00005B030000}"/>
    <cellStyle name="Accent3 8" xfId="944" xr:uid="{00000000-0005-0000-0000-00005C030000}"/>
    <cellStyle name="Accent3 8 2" xfId="945" xr:uid="{00000000-0005-0000-0000-00005D030000}"/>
    <cellStyle name="Accent3 9" xfId="946" xr:uid="{00000000-0005-0000-0000-00005E030000}"/>
    <cellStyle name="Accent3 9 2" xfId="947" xr:uid="{00000000-0005-0000-0000-00005F030000}"/>
    <cellStyle name="Accent4 10" xfId="948" xr:uid="{00000000-0005-0000-0000-000060030000}"/>
    <cellStyle name="Accent4 10 2" xfId="949" xr:uid="{00000000-0005-0000-0000-000061030000}"/>
    <cellStyle name="Accent4 11" xfId="950" xr:uid="{00000000-0005-0000-0000-000062030000}"/>
    <cellStyle name="Accent4 11 2" xfId="951" xr:uid="{00000000-0005-0000-0000-000063030000}"/>
    <cellStyle name="Accent4 12" xfId="952" xr:uid="{00000000-0005-0000-0000-000064030000}"/>
    <cellStyle name="Accent4 12 2" xfId="953" xr:uid="{00000000-0005-0000-0000-000065030000}"/>
    <cellStyle name="Accent4 13" xfId="954" xr:uid="{00000000-0005-0000-0000-000066030000}"/>
    <cellStyle name="Accent4 13 2" xfId="955" xr:uid="{00000000-0005-0000-0000-000067030000}"/>
    <cellStyle name="Accent4 14" xfId="956" xr:uid="{00000000-0005-0000-0000-000068030000}"/>
    <cellStyle name="Accent4 14 2" xfId="957" xr:uid="{00000000-0005-0000-0000-000069030000}"/>
    <cellStyle name="Accent4 15" xfId="958" xr:uid="{00000000-0005-0000-0000-00006A030000}"/>
    <cellStyle name="Accent4 15 2" xfId="959" xr:uid="{00000000-0005-0000-0000-00006B030000}"/>
    <cellStyle name="Accent4 16" xfId="960" xr:uid="{00000000-0005-0000-0000-00006C030000}"/>
    <cellStyle name="Accent4 16 2" xfId="961" xr:uid="{00000000-0005-0000-0000-00006D030000}"/>
    <cellStyle name="Accent4 17" xfId="962" xr:uid="{00000000-0005-0000-0000-00006E030000}"/>
    <cellStyle name="Accent4 17 2" xfId="963" xr:uid="{00000000-0005-0000-0000-00006F030000}"/>
    <cellStyle name="Accent4 18" xfId="964" xr:uid="{00000000-0005-0000-0000-000070030000}"/>
    <cellStyle name="Accent4 18 2" xfId="965" xr:uid="{00000000-0005-0000-0000-000071030000}"/>
    <cellStyle name="Accent4 19" xfId="966" xr:uid="{00000000-0005-0000-0000-000072030000}"/>
    <cellStyle name="Accent4 2" xfId="967" xr:uid="{00000000-0005-0000-0000-000073030000}"/>
    <cellStyle name="Accent4 2 2" xfId="968" xr:uid="{00000000-0005-0000-0000-000074030000}"/>
    <cellStyle name="Accent4 20" xfId="969" xr:uid="{00000000-0005-0000-0000-000075030000}"/>
    <cellStyle name="Accent4 21" xfId="970" xr:uid="{00000000-0005-0000-0000-000076030000}"/>
    <cellStyle name="Accent4 22" xfId="971" xr:uid="{00000000-0005-0000-0000-000077030000}"/>
    <cellStyle name="Accent4 23" xfId="972" xr:uid="{00000000-0005-0000-0000-000078030000}"/>
    <cellStyle name="Accent4 24" xfId="973" xr:uid="{00000000-0005-0000-0000-000079030000}"/>
    <cellStyle name="Accent4 25" xfId="974" xr:uid="{00000000-0005-0000-0000-00007A030000}"/>
    <cellStyle name="Accent4 3" xfId="975" xr:uid="{00000000-0005-0000-0000-00007B030000}"/>
    <cellStyle name="Accent4 3 2" xfId="976" xr:uid="{00000000-0005-0000-0000-00007C030000}"/>
    <cellStyle name="Accent4 4" xfId="977" xr:uid="{00000000-0005-0000-0000-00007D030000}"/>
    <cellStyle name="Accent4 4 2" xfId="978" xr:uid="{00000000-0005-0000-0000-00007E030000}"/>
    <cellStyle name="Accent4 5" xfId="979" xr:uid="{00000000-0005-0000-0000-00007F030000}"/>
    <cellStyle name="Accent4 5 2" xfId="980" xr:uid="{00000000-0005-0000-0000-000080030000}"/>
    <cellStyle name="Accent4 6" xfId="981" xr:uid="{00000000-0005-0000-0000-000081030000}"/>
    <cellStyle name="Accent4 6 2" xfId="982" xr:uid="{00000000-0005-0000-0000-000082030000}"/>
    <cellStyle name="Accent4 7" xfId="983" xr:uid="{00000000-0005-0000-0000-000083030000}"/>
    <cellStyle name="Accent4 7 2" xfId="984" xr:uid="{00000000-0005-0000-0000-000084030000}"/>
    <cellStyle name="Accent4 8" xfId="985" xr:uid="{00000000-0005-0000-0000-000085030000}"/>
    <cellStyle name="Accent4 8 2" xfId="986" xr:uid="{00000000-0005-0000-0000-000086030000}"/>
    <cellStyle name="Accent4 9" xfId="987" xr:uid="{00000000-0005-0000-0000-000087030000}"/>
    <cellStyle name="Accent4 9 2" xfId="988" xr:uid="{00000000-0005-0000-0000-000088030000}"/>
    <cellStyle name="Accent5 10" xfId="989" xr:uid="{00000000-0005-0000-0000-000089030000}"/>
    <cellStyle name="Accent5 10 2" xfId="990" xr:uid="{00000000-0005-0000-0000-00008A030000}"/>
    <cellStyle name="Accent5 11" xfId="991" xr:uid="{00000000-0005-0000-0000-00008B030000}"/>
    <cellStyle name="Accent5 11 2" xfId="992" xr:uid="{00000000-0005-0000-0000-00008C030000}"/>
    <cellStyle name="Accent5 12" xfId="993" xr:uid="{00000000-0005-0000-0000-00008D030000}"/>
    <cellStyle name="Accent5 12 2" xfId="994" xr:uid="{00000000-0005-0000-0000-00008E030000}"/>
    <cellStyle name="Accent5 13" xfId="995" xr:uid="{00000000-0005-0000-0000-00008F030000}"/>
    <cellStyle name="Accent5 13 2" xfId="996" xr:uid="{00000000-0005-0000-0000-000090030000}"/>
    <cellStyle name="Accent5 14" xfId="997" xr:uid="{00000000-0005-0000-0000-000091030000}"/>
    <cellStyle name="Accent5 14 2" xfId="998" xr:uid="{00000000-0005-0000-0000-000092030000}"/>
    <cellStyle name="Accent5 15" xfId="999" xr:uid="{00000000-0005-0000-0000-000093030000}"/>
    <cellStyle name="Accent5 15 2" xfId="1000" xr:uid="{00000000-0005-0000-0000-000094030000}"/>
    <cellStyle name="Accent5 16" xfId="1001" xr:uid="{00000000-0005-0000-0000-000095030000}"/>
    <cellStyle name="Accent5 16 2" xfId="1002" xr:uid="{00000000-0005-0000-0000-000096030000}"/>
    <cellStyle name="Accent5 17" xfId="1003" xr:uid="{00000000-0005-0000-0000-000097030000}"/>
    <cellStyle name="Accent5 17 2" xfId="1004" xr:uid="{00000000-0005-0000-0000-000098030000}"/>
    <cellStyle name="Accent5 18" xfId="1005" xr:uid="{00000000-0005-0000-0000-000099030000}"/>
    <cellStyle name="Accent5 18 2" xfId="1006" xr:uid="{00000000-0005-0000-0000-00009A030000}"/>
    <cellStyle name="Accent5 19" xfId="1007" xr:uid="{00000000-0005-0000-0000-00009B030000}"/>
    <cellStyle name="Accent5 2" xfId="1008" xr:uid="{00000000-0005-0000-0000-00009C030000}"/>
    <cellStyle name="Accent5 2 2" xfId="1009" xr:uid="{00000000-0005-0000-0000-00009D030000}"/>
    <cellStyle name="Accent5 20" xfId="1010" xr:uid="{00000000-0005-0000-0000-00009E030000}"/>
    <cellStyle name="Accent5 21" xfId="1011" xr:uid="{00000000-0005-0000-0000-00009F030000}"/>
    <cellStyle name="Accent5 22" xfId="1012" xr:uid="{00000000-0005-0000-0000-0000A0030000}"/>
    <cellStyle name="Accent5 23" xfId="1013" xr:uid="{00000000-0005-0000-0000-0000A1030000}"/>
    <cellStyle name="Accent5 24" xfId="1014" xr:uid="{00000000-0005-0000-0000-0000A2030000}"/>
    <cellStyle name="Accent5 25" xfId="1015" xr:uid="{00000000-0005-0000-0000-0000A3030000}"/>
    <cellStyle name="Accent5 3" xfId="1016" xr:uid="{00000000-0005-0000-0000-0000A4030000}"/>
    <cellStyle name="Accent5 3 2" xfId="1017" xr:uid="{00000000-0005-0000-0000-0000A5030000}"/>
    <cellStyle name="Accent5 4" xfId="1018" xr:uid="{00000000-0005-0000-0000-0000A6030000}"/>
    <cellStyle name="Accent5 4 2" xfId="1019" xr:uid="{00000000-0005-0000-0000-0000A7030000}"/>
    <cellStyle name="Accent5 5" xfId="1020" xr:uid="{00000000-0005-0000-0000-0000A8030000}"/>
    <cellStyle name="Accent5 5 2" xfId="1021" xr:uid="{00000000-0005-0000-0000-0000A9030000}"/>
    <cellStyle name="Accent5 6" xfId="1022" xr:uid="{00000000-0005-0000-0000-0000AA030000}"/>
    <cellStyle name="Accent5 6 2" xfId="1023" xr:uid="{00000000-0005-0000-0000-0000AB030000}"/>
    <cellStyle name="Accent5 7" xfId="1024" xr:uid="{00000000-0005-0000-0000-0000AC030000}"/>
    <cellStyle name="Accent5 7 2" xfId="1025" xr:uid="{00000000-0005-0000-0000-0000AD030000}"/>
    <cellStyle name="Accent5 8" xfId="1026" xr:uid="{00000000-0005-0000-0000-0000AE030000}"/>
    <cellStyle name="Accent5 8 2" xfId="1027" xr:uid="{00000000-0005-0000-0000-0000AF030000}"/>
    <cellStyle name="Accent5 9" xfId="1028" xr:uid="{00000000-0005-0000-0000-0000B0030000}"/>
    <cellStyle name="Accent5 9 2" xfId="1029" xr:uid="{00000000-0005-0000-0000-0000B1030000}"/>
    <cellStyle name="Accent6 10" xfId="1030" xr:uid="{00000000-0005-0000-0000-0000B2030000}"/>
    <cellStyle name="Accent6 10 2" xfId="1031" xr:uid="{00000000-0005-0000-0000-0000B3030000}"/>
    <cellStyle name="Accent6 11" xfId="1032" xr:uid="{00000000-0005-0000-0000-0000B4030000}"/>
    <cellStyle name="Accent6 11 2" xfId="1033" xr:uid="{00000000-0005-0000-0000-0000B5030000}"/>
    <cellStyle name="Accent6 12" xfId="1034" xr:uid="{00000000-0005-0000-0000-0000B6030000}"/>
    <cellStyle name="Accent6 12 2" xfId="1035" xr:uid="{00000000-0005-0000-0000-0000B7030000}"/>
    <cellStyle name="Accent6 13" xfId="1036" xr:uid="{00000000-0005-0000-0000-0000B8030000}"/>
    <cellStyle name="Accent6 13 2" xfId="1037" xr:uid="{00000000-0005-0000-0000-0000B9030000}"/>
    <cellStyle name="Accent6 14" xfId="1038" xr:uid="{00000000-0005-0000-0000-0000BA030000}"/>
    <cellStyle name="Accent6 14 2" xfId="1039" xr:uid="{00000000-0005-0000-0000-0000BB030000}"/>
    <cellStyle name="Accent6 15" xfId="1040" xr:uid="{00000000-0005-0000-0000-0000BC030000}"/>
    <cellStyle name="Accent6 15 2" xfId="1041" xr:uid="{00000000-0005-0000-0000-0000BD030000}"/>
    <cellStyle name="Accent6 16" xfId="1042" xr:uid="{00000000-0005-0000-0000-0000BE030000}"/>
    <cellStyle name="Accent6 16 2" xfId="1043" xr:uid="{00000000-0005-0000-0000-0000BF030000}"/>
    <cellStyle name="Accent6 17" xfId="1044" xr:uid="{00000000-0005-0000-0000-0000C0030000}"/>
    <cellStyle name="Accent6 17 2" xfId="1045" xr:uid="{00000000-0005-0000-0000-0000C1030000}"/>
    <cellStyle name="Accent6 18" xfId="1046" xr:uid="{00000000-0005-0000-0000-0000C2030000}"/>
    <cellStyle name="Accent6 18 2" xfId="1047" xr:uid="{00000000-0005-0000-0000-0000C3030000}"/>
    <cellStyle name="Accent6 19" xfId="1048" xr:uid="{00000000-0005-0000-0000-0000C4030000}"/>
    <cellStyle name="Accent6 2" xfId="1049" xr:uid="{00000000-0005-0000-0000-0000C5030000}"/>
    <cellStyle name="Accent6 2 2" xfId="1050" xr:uid="{00000000-0005-0000-0000-0000C6030000}"/>
    <cellStyle name="Accent6 20" xfId="1051" xr:uid="{00000000-0005-0000-0000-0000C7030000}"/>
    <cellStyle name="Accent6 21" xfId="1052" xr:uid="{00000000-0005-0000-0000-0000C8030000}"/>
    <cellStyle name="Accent6 22" xfId="1053" xr:uid="{00000000-0005-0000-0000-0000C9030000}"/>
    <cellStyle name="Accent6 23" xfId="1054" xr:uid="{00000000-0005-0000-0000-0000CA030000}"/>
    <cellStyle name="Accent6 24" xfId="1055" xr:uid="{00000000-0005-0000-0000-0000CB030000}"/>
    <cellStyle name="Accent6 25" xfId="1056" xr:uid="{00000000-0005-0000-0000-0000CC030000}"/>
    <cellStyle name="Accent6 3" xfId="1057" xr:uid="{00000000-0005-0000-0000-0000CD030000}"/>
    <cellStyle name="Accent6 3 2" xfId="1058" xr:uid="{00000000-0005-0000-0000-0000CE030000}"/>
    <cellStyle name="Accent6 4" xfId="1059" xr:uid="{00000000-0005-0000-0000-0000CF030000}"/>
    <cellStyle name="Accent6 4 2" xfId="1060" xr:uid="{00000000-0005-0000-0000-0000D0030000}"/>
    <cellStyle name="Accent6 5" xfId="1061" xr:uid="{00000000-0005-0000-0000-0000D1030000}"/>
    <cellStyle name="Accent6 5 2" xfId="1062" xr:uid="{00000000-0005-0000-0000-0000D2030000}"/>
    <cellStyle name="Accent6 6" xfId="1063" xr:uid="{00000000-0005-0000-0000-0000D3030000}"/>
    <cellStyle name="Accent6 6 2" xfId="1064" xr:uid="{00000000-0005-0000-0000-0000D4030000}"/>
    <cellStyle name="Accent6 7" xfId="1065" xr:uid="{00000000-0005-0000-0000-0000D5030000}"/>
    <cellStyle name="Accent6 7 2" xfId="1066" xr:uid="{00000000-0005-0000-0000-0000D6030000}"/>
    <cellStyle name="Accent6 8" xfId="1067" xr:uid="{00000000-0005-0000-0000-0000D7030000}"/>
    <cellStyle name="Accent6 8 2" xfId="1068" xr:uid="{00000000-0005-0000-0000-0000D8030000}"/>
    <cellStyle name="Accent6 9" xfId="1069" xr:uid="{00000000-0005-0000-0000-0000D9030000}"/>
    <cellStyle name="Accent6 9 2" xfId="1070" xr:uid="{00000000-0005-0000-0000-0000DA030000}"/>
    <cellStyle name="Bad 10" xfId="1071" xr:uid="{00000000-0005-0000-0000-0000DB030000}"/>
    <cellStyle name="Bad 10 2" xfId="1072" xr:uid="{00000000-0005-0000-0000-0000DC030000}"/>
    <cellStyle name="Bad 11" xfId="1073" xr:uid="{00000000-0005-0000-0000-0000DD030000}"/>
    <cellStyle name="Bad 11 2" xfId="1074" xr:uid="{00000000-0005-0000-0000-0000DE030000}"/>
    <cellStyle name="Bad 12" xfId="1075" xr:uid="{00000000-0005-0000-0000-0000DF030000}"/>
    <cellStyle name="Bad 12 2" xfId="1076" xr:uid="{00000000-0005-0000-0000-0000E0030000}"/>
    <cellStyle name="Bad 13" xfId="1077" xr:uid="{00000000-0005-0000-0000-0000E1030000}"/>
    <cellStyle name="Bad 13 2" xfId="1078" xr:uid="{00000000-0005-0000-0000-0000E2030000}"/>
    <cellStyle name="Bad 14" xfId="1079" xr:uid="{00000000-0005-0000-0000-0000E3030000}"/>
    <cellStyle name="Bad 14 2" xfId="1080" xr:uid="{00000000-0005-0000-0000-0000E4030000}"/>
    <cellStyle name="Bad 15" xfId="1081" xr:uid="{00000000-0005-0000-0000-0000E5030000}"/>
    <cellStyle name="Bad 15 2" xfId="1082" xr:uid="{00000000-0005-0000-0000-0000E6030000}"/>
    <cellStyle name="Bad 16" xfId="1083" xr:uid="{00000000-0005-0000-0000-0000E7030000}"/>
    <cellStyle name="Bad 16 2" xfId="1084" xr:uid="{00000000-0005-0000-0000-0000E8030000}"/>
    <cellStyle name="Bad 17" xfId="1085" xr:uid="{00000000-0005-0000-0000-0000E9030000}"/>
    <cellStyle name="Bad 17 2" xfId="1086" xr:uid="{00000000-0005-0000-0000-0000EA030000}"/>
    <cellStyle name="Bad 18" xfId="1087" xr:uid="{00000000-0005-0000-0000-0000EB030000}"/>
    <cellStyle name="Bad 18 2" xfId="1088" xr:uid="{00000000-0005-0000-0000-0000EC030000}"/>
    <cellStyle name="Bad 19" xfId="1089" xr:uid="{00000000-0005-0000-0000-0000ED030000}"/>
    <cellStyle name="Bad 2" xfId="1090" xr:uid="{00000000-0005-0000-0000-0000EE030000}"/>
    <cellStyle name="Bad 2 2" xfId="1091" xr:uid="{00000000-0005-0000-0000-0000EF030000}"/>
    <cellStyle name="Bad 20" xfId="1092" xr:uid="{00000000-0005-0000-0000-0000F0030000}"/>
    <cellStyle name="Bad 21" xfId="1093" xr:uid="{00000000-0005-0000-0000-0000F1030000}"/>
    <cellStyle name="Bad 22" xfId="1094" xr:uid="{00000000-0005-0000-0000-0000F2030000}"/>
    <cellStyle name="Bad 23" xfId="1095" xr:uid="{00000000-0005-0000-0000-0000F3030000}"/>
    <cellStyle name="Bad 24" xfId="1096" xr:uid="{00000000-0005-0000-0000-0000F4030000}"/>
    <cellStyle name="Bad 25" xfId="1097" xr:uid="{00000000-0005-0000-0000-0000F5030000}"/>
    <cellStyle name="Bad 3" xfId="1098" xr:uid="{00000000-0005-0000-0000-0000F6030000}"/>
    <cellStyle name="Bad 3 2" xfId="1099" xr:uid="{00000000-0005-0000-0000-0000F7030000}"/>
    <cellStyle name="Bad 4" xfId="1100" xr:uid="{00000000-0005-0000-0000-0000F8030000}"/>
    <cellStyle name="Bad 4 2" xfId="1101" xr:uid="{00000000-0005-0000-0000-0000F9030000}"/>
    <cellStyle name="Bad 5" xfId="1102" xr:uid="{00000000-0005-0000-0000-0000FA030000}"/>
    <cellStyle name="Bad 5 2" xfId="1103" xr:uid="{00000000-0005-0000-0000-0000FB030000}"/>
    <cellStyle name="Bad 6" xfId="1104" xr:uid="{00000000-0005-0000-0000-0000FC030000}"/>
    <cellStyle name="Bad 6 2" xfId="1105" xr:uid="{00000000-0005-0000-0000-0000FD030000}"/>
    <cellStyle name="Bad 7" xfId="1106" xr:uid="{00000000-0005-0000-0000-0000FE030000}"/>
    <cellStyle name="Bad 7 2" xfId="1107" xr:uid="{00000000-0005-0000-0000-0000FF030000}"/>
    <cellStyle name="Bad 8" xfId="1108" xr:uid="{00000000-0005-0000-0000-000000040000}"/>
    <cellStyle name="Bad 8 2" xfId="1109" xr:uid="{00000000-0005-0000-0000-000001040000}"/>
    <cellStyle name="Bad 9" xfId="1110" xr:uid="{00000000-0005-0000-0000-000002040000}"/>
    <cellStyle name="Bad 9 2" xfId="1111" xr:uid="{00000000-0005-0000-0000-000003040000}"/>
    <cellStyle name="Calculation 10" xfId="1112" xr:uid="{00000000-0005-0000-0000-000004040000}"/>
    <cellStyle name="Calculation 10 2" xfId="1113" xr:uid="{00000000-0005-0000-0000-000005040000}"/>
    <cellStyle name="Calculation 10_STR_BOQ_Dental College" xfId="1114" xr:uid="{00000000-0005-0000-0000-000006040000}"/>
    <cellStyle name="Calculation 11" xfId="1115" xr:uid="{00000000-0005-0000-0000-000007040000}"/>
    <cellStyle name="Calculation 11 2" xfId="1116" xr:uid="{00000000-0005-0000-0000-000008040000}"/>
    <cellStyle name="Calculation 11_STR_BOQ_Dental College" xfId="1117" xr:uid="{00000000-0005-0000-0000-000009040000}"/>
    <cellStyle name="Calculation 12" xfId="1118" xr:uid="{00000000-0005-0000-0000-00000A040000}"/>
    <cellStyle name="Calculation 12 2" xfId="1119" xr:uid="{00000000-0005-0000-0000-00000B040000}"/>
    <cellStyle name="Calculation 12_STR_BOQ_Dental College" xfId="1120" xr:uid="{00000000-0005-0000-0000-00000C040000}"/>
    <cellStyle name="Calculation 13" xfId="1121" xr:uid="{00000000-0005-0000-0000-00000D040000}"/>
    <cellStyle name="Calculation 13 2" xfId="1122" xr:uid="{00000000-0005-0000-0000-00000E040000}"/>
    <cellStyle name="Calculation 13_STR_BOQ_Dental College" xfId="1123" xr:uid="{00000000-0005-0000-0000-00000F040000}"/>
    <cellStyle name="Calculation 14" xfId="1124" xr:uid="{00000000-0005-0000-0000-000010040000}"/>
    <cellStyle name="Calculation 14 2" xfId="1125" xr:uid="{00000000-0005-0000-0000-000011040000}"/>
    <cellStyle name="Calculation 14_STR_BOQ_Dental College" xfId="1126" xr:uid="{00000000-0005-0000-0000-000012040000}"/>
    <cellStyle name="Calculation 15" xfId="1127" xr:uid="{00000000-0005-0000-0000-000013040000}"/>
    <cellStyle name="Calculation 15 2" xfId="1128" xr:uid="{00000000-0005-0000-0000-000014040000}"/>
    <cellStyle name="Calculation 15_STR_BOQ_Dental College" xfId="1129" xr:uid="{00000000-0005-0000-0000-000015040000}"/>
    <cellStyle name="Calculation 16" xfId="1130" xr:uid="{00000000-0005-0000-0000-000016040000}"/>
    <cellStyle name="Calculation 16 2" xfId="1131" xr:uid="{00000000-0005-0000-0000-000017040000}"/>
    <cellStyle name="Calculation 16_STR_BOQ_Dental College" xfId="1132" xr:uid="{00000000-0005-0000-0000-000018040000}"/>
    <cellStyle name="Calculation 17" xfId="1133" xr:uid="{00000000-0005-0000-0000-000019040000}"/>
    <cellStyle name="Calculation 17 2" xfId="1134" xr:uid="{00000000-0005-0000-0000-00001A040000}"/>
    <cellStyle name="Calculation 17_STR_BOQ_Dental College" xfId="1135" xr:uid="{00000000-0005-0000-0000-00001B040000}"/>
    <cellStyle name="Calculation 18" xfId="1136" xr:uid="{00000000-0005-0000-0000-00001C040000}"/>
    <cellStyle name="Calculation 18 2" xfId="1137" xr:uid="{00000000-0005-0000-0000-00001D040000}"/>
    <cellStyle name="Calculation 18_STR_BOQ_Dental College" xfId="1138" xr:uid="{00000000-0005-0000-0000-00001E040000}"/>
    <cellStyle name="Calculation 19" xfId="1139" xr:uid="{00000000-0005-0000-0000-00001F040000}"/>
    <cellStyle name="Calculation 2" xfId="1140" xr:uid="{00000000-0005-0000-0000-000020040000}"/>
    <cellStyle name="Calculation 2 2" xfId="1141" xr:uid="{00000000-0005-0000-0000-000021040000}"/>
    <cellStyle name="Calculation 2_STR_BOQ_Dental College" xfId="1142" xr:uid="{00000000-0005-0000-0000-000022040000}"/>
    <cellStyle name="Calculation 20" xfId="1143" xr:uid="{00000000-0005-0000-0000-000023040000}"/>
    <cellStyle name="Calculation 21" xfId="1144" xr:uid="{00000000-0005-0000-0000-000024040000}"/>
    <cellStyle name="Calculation 22" xfId="1145" xr:uid="{00000000-0005-0000-0000-000025040000}"/>
    <cellStyle name="Calculation 23" xfId="1146" xr:uid="{00000000-0005-0000-0000-000026040000}"/>
    <cellStyle name="Calculation 24" xfId="1147" xr:uid="{00000000-0005-0000-0000-000027040000}"/>
    <cellStyle name="Calculation 25" xfId="1148" xr:uid="{00000000-0005-0000-0000-000028040000}"/>
    <cellStyle name="Calculation 3" xfId="1149" xr:uid="{00000000-0005-0000-0000-000029040000}"/>
    <cellStyle name="Calculation 3 2" xfId="1150" xr:uid="{00000000-0005-0000-0000-00002A040000}"/>
    <cellStyle name="Calculation 3_STR_BOQ_Dental College" xfId="1151" xr:uid="{00000000-0005-0000-0000-00002B040000}"/>
    <cellStyle name="Calculation 4" xfId="1152" xr:uid="{00000000-0005-0000-0000-00002C040000}"/>
    <cellStyle name="Calculation 4 2" xfId="1153" xr:uid="{00000000-0005-0000-0000-00002D040000}"/>
    <cellStyle name="Calculation 4_STR_BOQ_Dental College" xfId="1154" xr:uid="{00000000-0005-0000-0000-00002E040000}"/>
    <cellStyle name="Calculation 5" xfId="1155" xr:uid="{00000000-0005-0000-0000-00002F040000}"/>
    <cellStyle name="Calculation 5 2" xfId="1156" xr:uid="{00000000-0005-0000-0000-000030040000}"/>
    <cellStyle name="Calculation 5_STR_BOQ_Dental College" xfId="1157" xr:uid="{00000000-0005-0000-0000-000031040000}"/>
    <cellStyle name="Calculation 6" xfId="1158" xr:uid="{00000000-0005-0000-0000-000032040000}"/>
    <cellStyle name="Calculation 6 2" xfId="1159" xr:uid="{00000000-0005-0000-0000-000033040000}"/>
    <cellStyle name="Calculation 6_STR_BOQ_Dental College" xfId="1160" xr:uid="{00000000-0005-0000-0000-000034040000}"/>
    <cellStyle name="Calculation 7" xfId="1161" xr:uid="{00000000-0005-0000-0000-000035040000}"/>
    <cellStyle name="Calculation 7 2" xfId="1162" xr:uid="{00000000-0005-0000-0000-000036040000}"/>
    <cellStyle name="Calculation 7_STR_BOQ_Dental College" xfId="1163" xr:uid="{00000000-0005-0000-0000-000037040000}"/>
    <cellStyle name="Calculation 8" xfId="1164" xr:uid="{00000000-0005-0000-0000-000038040000}"/>
    <cellStyle name="Calculation 8 2" xfId="1165" xr:uid="{00000000-0005-0000-0000-000039040000}"/>
    <cellStyle name="Calculation 8_STR_BOQ_Dental College" xfId="1166" xr:uid="{00000000-0005-0000-0000-00003A040000}"/>
    <cellStyle name="Calculation 9" xfId="1167" xr:uid="{00000000-0005-0000-0000-00003B040000}"/>
    <cellStyle name="Calculation 9 2" xfId="1168" xr:uid="{00000000-0005-0000-0000-00003C040000}"/>
    <cellStyle name="Calculation 9_STR_BOQ_Dental College" xfId="1169" xr:uid="{00000000-0005-0000-0000-00003D040000}"/>
    <cellStyle name="Check Cell 10" xfId="1170" xr:uid="{00000000-0005-0000-0000-00003E040000}"/>
    <cellStyle name="Check Cell 10 2" xfId="1171" xr:uid="{00000000-0005-0000-0000-00003F040000}"/>
    <cellStyle name="Check Cell 10_STR_BOQ_Dental College" xfId="1172" xr:uid="{00000000-0005-0000-0000-000040040000}"/>
    <cellStyle name="Check Cell 11" xfId="1173" xr:uid="{00000000-0005-0000-0000-000041040000}"/>
    <cellStyle name="Check Cell 11 2" xfId="1174" xr:uid="{00000000-0005-0000-0000-000042040000}"/>
    <cellStyle name="Check Cell 11_STR_BOQ_Dental College" xfId="1175" xr:uid="{00000000-0005-0000-0000-000043040000}"/>
    <cellStyle name="Check Cell 12" xfId="1176" xr:uid="{00000000-0005-0000-0000-000044040000}"/>
    <cellStyle name="Check Cell 12 2" xfId="1177" xr:uid="{00000000-0005-0000-0000-000045040000}"/>
    <cellStyle name="Check Cell 12_STR_BOQ_Dental College" xfId="1178" xr:uid="{00000000-0005-0000-0000-000046040000}"/>
    <cellStyle name="Check Cell 13" xfId="1179" xr:uid="{00000000-0005-0000-0000-000047040000}"/>
    <cellStyle name="Check Cell 13 2" xfId="1180" xr:uid="{00000000-0005-0000-0000-000048040000}"/>
    <cellStyle name="Check Cell 13_STR_BOQ_Dental College" xfId="1181" xr:uid="{00000000-0005-0000-0000-000049040000}"/>
    <cellStyle name="Check Cell 14" xfId="1182" xr:uid="{00000000-0005-0000-0000-00004A040000}"/>
    <cellStyle name="Check Cell 14 2" xfId="1183" xr:uid="{00000000-0005-0000-0000-00004B040000}"/>
    <cellStyle name="Check Cell 14_STR_BOQ_Dental College" xfId="1184" xr:uid="{00000000-0005-0000-0000-00004C040000}"/>
    <cellStyle name="Check Cell 15" xfId="1185" xr:uid="{00000000-0005-0000-0000-00004D040000}"/>
    <cellStyle name="Check Cell 15 2" xfId="1186" xr:uid="{00000000-0005-0000-0000-00004E040000}"/>
    <cellStyle name="Check Cell 15_STR_BOQ_Dental College" xfId="1187" xr:uid="{00000000-0005-0000-0000-00004F040000}"/>
    <cellStyle name="Check Cell 16" xfId="1188" xr:uid="{00000000-0005-0000-0000-000050040000}"/>
    <cellStyle name="Check Cell 16 2" xfId="1189" xr:uid="{00000000-0005-0000-0000-000051040000}"/>
    <cellStyle name="Check Cell 16_STR_BOQ_Dental College" xfId="1190" xr:uid="{00000000-0005-0000-0000-000052040000}"/>
    <cellStyle name="Check Cell 17" xfId="1191" xr:uid="{00000000-0005-0000-0000-000053040000}"/>
    <cellStyle name="Check Cell 17 2" xfId="1192" xr:uid="{00000000-0005-0000-0000-000054040000}"/>
    <cellStyle name="Check Cell 17_STR_BOQ_Dental College" xfId="1193" xr:uid="{00000000-0005-0000-0000-000055040000}"/>
    <cellStyle name="Check Cell 18" xfId="1194" xr:uid="{00000000-0005-0000-0000-000056040000}"/>
    <cellStyle name="Check Cell 18 2" xfId="1195" xr:uid="{00000000-0005-0000-0000-000057040000}"/>
    <cellStyle name="Check Cell 18_STR_BOQ_Dental College" xfId="1196" xr:uid="{00000000-0005-0000-0000-000058040000}"/>
    <cellStyle name="Check Cell 19" xfId="1197" xr:uid="{00000000-0005-0000-0000-000059040000}"/>
    <cellStyle name="Check Cell 2" xfId="1198" xr:uid="{00000000-0005-0000-0000-00005A040000}"/>
    <cellStyle name="Check Cell 2 2" xfId="1199" xr:uid="{00000000-0005-0000-0000-00005B040000}"/>
    <cellStyle name="Check Cell 2_STR_BOQ_Dental College" xfId="1200" xr:uid="{00000000-0005-0000-0000-00005C040000}"/>
    <cellStyle name="Check Cell 20" xfId="1201" xr:uid="{00000000-0005-0000-0000-00005D040000}"/>
    <cellStyle name="Check Cell 21" xfId="1202" xr:uid="{00000000-0005-0000-0000-00005E040000}"/>
    <cellStyle name="Check Cell 22" xfId="1203" xr:uid="{00000000-0005-0000-0000-00005F040000}"/>
    <cellStyle name="Check Cell 23" xfId="1204" xr:uid="{00000000-0005-0000-0000-000060040000}"/>
    <cellStyle name="Check Cell 24" xfId="1205" xr:uid="{00000000-0005-0000-0000-000061040000}"/>
    <cellStyle name="Check Cell 25" xfId="1206" xr:uid="{00000000-0005-0000-0000-000062040000}"/>
    <cellStyle name="Check Cell 3" xfId="1207" xr:uid="{00000000-0005-0000-0000-000063040000}"/>
    <cellStyle name="Check Cell 3 2" xfId="1208" xr:uid="{00000000-0005-0000-0000-000064040000}"/>
    <cellStyle name="Check Cell 3_STR_BOQ_Dental College" xfId="1209" xr:uid="{00000000-0005-0000-0000-000065040000}"/>
    <cellStyle name="Check Cell 4" xfId="1210" xr:uid="{00000000-0005-0000-0000-000066040000}"/>
    <cellStyle name="Check Cell 4 2" xfId="1211" xr:uid="{00000000-0005-0000-0000-000067040000}"/>
    <cellStyle name="Check Cell 4_STR_BOQ_Dental College" xfId="1212" xr:uid="{00000000-0005-0000-0000-000068040000}"/>
    <cellStyle name="Check Cell 5" xfId="1213" xr:uid="{00000000-0005-0000-0000-000069040000}"/>
    <cellStyle name="Check Cell 5 2" xfId="1214" xr:uid="{00000000-0005-0000-0000-00006A040000}"/>
    <cellStyle name="Check Cell 5_STR_BOQ_Dental College" xfId="1215" xr:uid="{00000000-0005-0000-0000-00006B040000}"/>
    <cellStyle name="Check Cell 6" xfId="1216" xr:uid="{00000000-0005-0000-0000-00006C040000}"/>
    <cellStyle name="Check Cell 6 2" xfId="1217" xr:uid="{00000000-0005-0000-0000-00006D040000}"/>
    <cellStyle name="Check Cell 6_STR_BOQ_Dental College" xfId="1218" xr:uid="{00000000-0005-0000-0000-00006E040000}"/>
    <cellStyle name="Check Cell 7" xfId="1219" xr:uid="{00000000-0005-0000-0000-00006F040000}"/>
    <cellStyle name="Check Cell 7 2" xfId="1220" xr:uid="{00000000-0005-0000-0000-000070040000}"/>
    <cellStyle name="Check Cell 7_STR_BOQ_Dental College" xfId="1221" xr:uid="{00000000-0005-0000-0000-000071040000}"/>
    <cellStyle name="Check Cell 8" xfId="1222" xr:uid="{00000000-0005-0000-0000-000072040000}"/>
    <cellStyle name="Check Cell 8 2" xfId="1223" xr:uid="{00000000-0005-0000-0000-000073040000}"/>
    <cellStyle name="Check Cell 8_STR_BOQ_Dental College" xfId="1224" xr:uid="{00000000-0005-0000-0000-000074040000}"/>
    <cellStyle name="Check Cell 9" xfId="1225" xr:uid="{00000000-0005-0000-0000-000075040000}"/>
    <cellStyle name="Check Cell 9 2" xfId="1226" xr:uid="{00000000-0005-0000-0000-000076040000}"/>
    <cellStyle name="Check Cell 9_STR_BOQ_Dental College" xfId="1227" xr:uid="{00000000-0005-0000-0000-000077040000}"/>
    <cellStyle name="Comma" xfId="1" builtinId="3"/>
    <cellStyle name="Comma 10" xfId="2" xr:uid="{00000000-0005-0000-0000-000079040000}"/>
    <cellStyle name="Comma 10 2" xfId="1228" xr:uid="{00000000-0005-0000-0000-00007A040000}"/>
    <cellStyle name="Comma 10 2 2" xfId="1229" xr:uid="{00000000-0005-0000-0000-00007B040000}"/>
    <cellStyle name="Comma 10 3" xfId="1230" xr:uid="{00000000-0005-0000-0000-00007C040000}"/>
    <cellStyle name="Comma 10 3 2" xfId="1231" xr:uid="{00000000-0005-0000-0000-00007D040000}"/>
    <cellStyle name="Comma 11" xfId="1232" xr:uid="{00000000-0005-0000-0000-00007E040000}"/>
    <cellStyle name="Comma 11 2" xfId="1233" xr:uid="{00000000-0005-0000-0000-00007F040000}"/>
    <cellStyle name="Comma 11 3" xfId="1234" xr:uid="{00000000-0005-0000-0000-000080040000}"/>
    <cellStyle name="Comma 11 4" xfId="1235" xr:uid="{00000000-0005-0000-0000-000081040000}"/>
    <cellStyle name="Comma 11 4 2" xfId="1236" xr:uid="{00000000-0005-0000-0000-000082040000}"/>
    <cellStyle name="Comma 12" xfId="1237" xr:uid="{00000000-0005-0000-0000-000083040000}"/>
    <cellStyle name="Comma 12 2" xfId="1238" xr:uid="{00000000-0005-0000-0000-000084040000}"/>
    <cellStyle name="Comma 13" xfId="1239" xr:uid="{00000000-0005-0000-0000-000085040000}"/>
    <cellStyle name="Comma 13 2" xfId="1240" xr:uid="{00000000-0005-0000-0000-000086040000}"/>
    <cellStyle name="Comma 14" xfId="1241" xr:uid="{00000000-0005-0000-0000-000087040000}"/>
    <cellStyle name="Comma 14 2" xfId="1242" xr:uid="{00000000-0005-0000-0000-000088040000}"/>
    <cellStyle name="Comma 15" xfId="1243" xr:uid="{00000000-0005-0000-0000-000089040000}"/>
    <cellStyle name="Comma 15 2" xfId="1244" xr:uid="{00000000-0005-0000-0000-00008A040000}"/>
    <cellStyle name="Comma 16" xfId="1245" xr:uid="{00000000-0005-0000-0000-00008B040000}"/>
    <cellStyle name="Comma 16 2" xfId="1246" xr:uid="{00000000-0005-0000-0000-00008C040000}"/>
    <cellStyle name="Comma 17" xfId="1247" xr:uid="{00000000-0005-0000-0000-00008D040000}"/>
    <cellStyle name="Comma 17 2" xfId="1248" xr:uid="{00000000-0005-0000-0000-00008E040000}"/>
    <cellStyle name="Comma 18" xfId="1249" xr:uid="{00000000-0005-0000-0000-00008F040000}"/>
    <cellStyle name="Comma 18 2" xfId="1250" xr:uid="{00000000-0005-0000-0000-000090040000}"/>
    <cellStyle name="Comma 19" xfId="1251" xr:uid="{00000000-0005-0000-0000-000091040000}"/>
    <cellStyle name="Comma 19 2" xfId="1252" xr:uid="{00000000-0005-0000-0000-000092040000}"/>
    <cellStyle name="Comma 2" xfId="3" xr:uid="{00000000-0005-0000-0000-000093040000}"/>
    <cellStyle name="Comma 2 2" xfId="4" xr:uid="{00000000-0005-0000-0000-000094040000}"/>
    <cellStyle name="Comma 2 2 2" xfId="1253" xr:uid="{00000000-0005-0000-0000-000095040000}"/>
    <cellStyle name="Comma 2 2 3" xfId="1254" xr:uid="{00000000-0005-0000-0000-000096040000}"/>
    <cellStyle name="Comma 2 3" xfId="1255" xr:uid="{00000000-0005-0000-0000-000097040000}"/>
    <cellStyle name="Comma 2 4" xfId="1256" xr:uid="{00000000-0005-0000-0000-000098040000}"/>
    <cellStyle name="Comma 2 4 2" xfId="1257" xr:uid="{00000000-0005-0000-0000-000099040000}"/>
    <cellStyle name="Comma 2 5" xfId="1258" xr:uid="{00000000-0005-0000-0000-00009A040000}"/>
    <cellStyle name="Comma 20" xfId="1259" xr:uid="{00000000-0005-0000-0000-00009B040000}"/>
    <cellStyle name="Comma 20 2" xfId="1260" xr:uid="{00000000-0005-0000-0000-00009C040000}"/>
    <cellStyle name="Comma 21" xfId="1261" xr:uid="{00000000-0005-0000-0000-00009D040000}"/>
    <cellStyle name="Comma 21 2" xfId="1262" xr:uid="{00000000-0005-0000-0000-00009E040000}"/>
    <cellStyle name="Comma 22" xfId="1263" xr:uid="{00000000-0005-0000-0000-00009F040000}"/>
    <cellStyle name="Comma 22 2" xfId="1264" xr:uid="{00000000-0005-0000-0000-0000A0040000}"/>
    <cellStyle name="Comma 23" xfId="1265" xr:uid="{00000000-0005-0000-0000-0000A1040000}"/>
    <cellStyle name="Comma 23 2" xfId="1266" xr:uid="{00000000-0005-0000-0000-0000A2040000}"/>
    <cellStyle name="Comma 24" xfId="1267" xr:uid="{00000000-0005-0000-0000-0000A3040000}"/>
    <cellStyle name="Comma 24 2" xfId="1268" xr:uid="{00000000-0005-0000-0000-0000A4040000}"/>
    <cellStyle name="Comma 25" xfId="1269" xr:uid="{00000000-0005-0000-0000-0000A5040000}"/>
    <cellStyle name="Comma 25 2" xfId="1270" xr:uid="{00000000-0005-0000-0000-0000A6040000}"/>
    <cellStyle name="Comma 25 3" xfId="1271" xr:uid="{00000000-0005-0000-0000-0000A7040000}"/>
    <cellStyle name="Comma 26" xfId="1272" xr:uid="{00000000-0005-0000-0000-0000A8040000}"/>
    <cellStyle name="Comma 26 2" xfId="1273" xr:uid="{00000000-0005-0000-0000-0000A9040000}"/>
    <cellStyle name="Comma 27" xfId="1274" xr:uid="{00000000-0005-0000-0000-0000AA040000}"/>
    <cellStyle name="Comma 27 2" xfId="1275" xr:uid="{00000000-0005-0000-0000-0000AB040000}"/>
    <cellStyle name="Comma 28" xfId="1276" xr:uid="{00000000-0005-0000-0000-0000AC040000}"/>
    <cellStyle name="Comma 28 2" xfId="1277" xr:uid="{00000000-0005-0000-0000-0000AD040000}"/>
    <cellStyle name="Comma 29" xfId="1278" xr:uid="{00000000-0005-0000-0000-0000AE040000}"/>
    <cellStyle name="Comma 29 2" xfId="1279" xr:uid="{00000000-0005-0000-0000-0000AF040000}"/>
    <cellStyle name="Comma 3" xfId="5" xr:uid="{00000000-0005-0000-0000-0000B0040000}"/>
    <cellStyle name="Comma 3 2" xfId="81" xr:uid="{00000000-0005-0000-0000-0000B1040000}"/>
    <cellStyle name="Comma 3 2 2" xfId="1280" xr:uid="{00000000-0005-0000-0000-0000B2040000}"/>
    <cellStyle name="Comma 3 2 3" xfId="1281" xr:uid="{00000000-0005-0000-0000-0000B3040000}"/>
    <cellStyle name="Comma 3 3" xfId="1282" xr:uid="{00000000-0005-0000-0000-0000B4040000}"/>
    <cellStyle name="Comma 3 3 2" xfId="1283" xr:uid="{00000000-0005-0000-0000-0000B5040000}"/>
    <cellStyle name="Comma 3 4" xfId="1284" xr:uid="{00000000-0005-0000-0000-0000B6040000}"/>
    <cellStyle name="Comma 3 4 2" xfId="1285" xr:uid="{00000000-0005-0000-0000-0000B7040000}"/>
    <cellStyle name="Comma 3 5" xfId="1286" xr:uid="{00000000-0005-0000-0000-0000B8040000}"/>
    <cellStyle name="Comma 3 5 2" xfId="1287" xr:uid="{00000000-0005-0000-0000-0000B9040000}"/>
    <cellStyle name="Comma 3 6" xfId="1288" xr:uid="{00000000-0005-0000-0000-0000BA040000}"/>
    <cellStyle name="Comma 3 6 2" xfId="1289" xr:uid="{00000000-0005-0000-0000-0000BB040000}"/>
    <cellStyle name="Comma 3 7" xfId="1290" xr:uid="{00000000-0005-0000-0000-0000BC040000}"/>
    <cellStyle name="Comma 3_2-BOQ- ESIC HOSPITAL AT CHANDIGARH-07.08.2012-R5" xfId="1291" xr:uid="{00000000-0005-0000-0000-0000BD040000}"/>
    <cellStyle name="Comma 30" xfId="1292" xr:uid="{00000000-0005-0000-0000-0000BE040000}"/>
    <cellStyle name="Comma 31" xfId="14" xr:uid="{00000000-0005-0000-0000-0000BF040000}"/>
    <cellStyle name="Comma 31 2" xfId="1293" xr:uid="{00000000-0005-0000-0000-0000C0040000}"/>
    <cellStyle name="Comma 31 2 2" xfId="1294" xr:uid="{00000000-0005-0000-0000-0000C1040000}"/>
    <cellStyle name="Comma 31 2 3" xfId="1295" xr:uid="{00000000-0005-0000-0000-0000C2040000}"/>
    <cellStyle name="Comma 31 2 4" xfId="1296" xr:uid="{00000000-0005-0000-0000-0000C3040000}"/>
    <cellStyle name="Comma 31 2 5" xfId="1297" xr:uid="{00000000-0005-0000-0000-0000C4040000}"/>
    <cellStyle name="Comma 31 2 6" xfId="1298" xr:uid="{00000000-0005-0000-0000-0000C5040000}"/>
    <cellStyle name="Comma 31 2 7" xfId="1299" xr:uid="{00000000-0005-0000-0000-0000C6040000}"/>
    <cellStyle name="Comma 31 2 8" xfId="1300" xr:uid="{00000000-0005-0000-0000-0000C7040000}"/>
    <cellStyle name="Comma 32" xfId="15" xr:uid="{00000000-0005-0000-0000-0000C8040000}"/>
    <cellStyle name="Comma 32 2" xfId="1301" xr:uid="{00000000-0005-0000-0000-0000C9040000}"/>
    <cellStyle name="Comma 33" xfId="1302" xr:uid="{00000000-0005-0000-0000-0000CA040000}"/>
    <cellStyle name="Comma 33 2" xfId="1303" xr:uid="{00000000-0005-0000-0000-0000CB040000}"/>
    <cellStyle name="Comma 34" xfId="1304" xr:uid="{00000000-0005-0000-0000-0000CC040000}"/>
    <cellStyle name="Comma 35" xfId="1305" xr:uid="{00000000-0005-0000-0000-0000CD040000}"/>
    <cellStyle name="Comma 36" xfId="1306" xr:uid="{00000000-0005-0000-0000-0000CE040000}"/>
    <cellStyle name="Comma 37" xfId="1307" xr:uid="{00000000-0005-0000-0000-0000CF040000}"/>
    <cellStyle name="Comma 37 2" xfId="1308" xr:uid="{00000000-0005-0000-0000-0000D0040000}"/>
    <cellStyle name="Comma 38" xfId="1309" xr:uid="{00000000-0005-0000-0000-0000D1040000}"/>
    <cellStyle name="Comma 39" xfId="1310" xr:uid="{00000000-0005-0000-0000-0000D2040000}"/>
    <cellStyle name="Comma 4" xfId="6" xr:uid="{00000000-0005-0000-0000-0000D3040000}"/>
    <cellStyle name="Comma 4 2" xfId="1311" xr:uid="{00000000-0005-0000-0000-0000D4040000}"/>
    <cellStyle name="Comma 4 2 2" xfId="1312" xr:uid="{00000000-0005-0000-0000-0000D5040000}"/>
    <cellStyle name="Comma 4 3" xfId="1313" xr:uid="{00000000-0005-0000-0000-0000D6040000}"/>
    <cellStyle name="Comma 4 4" xfId="1314" xr:uid="{00000000-0005-0000-0000-0000D7040000}"/>
    <cellStyle name="Comma 4_3-NATGRID AT ANDHERIA MORE-EXTERNAL BOQ-FF Works-27.09.13" xfId="1315" xr:uid="{00000000-0005-0000-0000-0000D8040000}"/>
    <cellStyle name="Comma 40" xfId="1316" xr:uid="{00000000-0005-0000-0000-0000D9040000}"/>
    <cellStyle name="Comma 40 2" xfId="1317" xr:uid="{00000000-0005-0000-0000-0000DA040000}"/>
    <cellStyle name="Comma 41" xfId="1318" xr:uid="{00000000-0005-0000-0000-0000DB040000}"/>
    <cellStyle name="Comma 41 2" xfId="1319" xr:uid="{00000000-0005-0000-0000-0000DC040000}"/>
    <cellStyle name="Comma 5" xfId="7" xr:uid="{00000000-0005-0000-0000-0000DD040000}"/>
    <cellStyle name="Comma 5 2" xfId="1320" xr:uid="{00000000-0005-0000-0000-0000DE040000}"/>
    <cellStyle name="Comma 6" xfId="1321" xr:uid="{00000000-0005-0000-0000-0000DF040000}"/>
    <cellStyle name="Comma 6 2" xfId="1322" xr:uid="{00000000-0005-0000-0000-0000E0040000}"/>
    <cellStyle name="Comma 6 3" xfId="1323" xr:uid="{00000000-0005-0000-0000-0000E1040000}"/>
    <cellStyle name="Comma 6_3-NATGRID AT ANDHERIA MORE-EXTERNAL BOQ-FF Works-27.09.13" xfId="1324" xr:uid="{00000000-0005-0000-0000-0000E2040000}"/>
    <cellStyle name="Comma 7" xfId="1325" xr:uid="{00000000-0005-0000-0000-0000E3040000}"/>
    <cellStyle name="Comma 7 2" xfId="1326" xr:uid="{00000000-0005-0000-0000-0000E4040000}"/>
    <cellStyle name="Comma 7 3" xfId="1327" xr:uid="{00000000-0005-0000-0000-0000E5040000}"/>
    <cellStyle name="Comma 8" xfId="1328" xr:uid="{00000000-0005-0000-0000-0000E6040000}"/>
    <cellStyle name="Comma 8 2" xfId="1329" xr:uid="{00000000-0005-0000-0000-0000E7040000}"/>
    <cellStyle name="Comma 8 2 2" xfId="1330" xr:uid="{00000000-0005-0000-0000-0000E8040000}"/>
    <cellStyle name="Comma 8 3" xfId="1331" xr:uid="{00000000-0005-0000-0000-0000E9040000}"/>
    <cellStyle name="Comma 9" xfId="1332" xr:uid="{00000000-0005-0000-0000-0000EA040000}"/>
    <cellStyle name="Comma 9 2" xfId="1333" xr:uid="{00000000-0005-0000-0000-0000EB040000}"/>
    <cellStyle name="Currency [0] 2" xfId="1334" xr:uid="{00000000-0005-0000-0000-0000EC040000}"/>
    <cellStyle name="Currency [0] 3" xfId="1335" xr:uid="{00000000-0005-0000-0000-0000ED040000}"/>
    <cellStyle name="Currency [0] 3 2" xfId="1336" xr:uid="{00000000-0005-0000-0000-0000EE040000}"/>
    <cellStyle name="Currency 5" xfId="1337" xr:uid="{00000000-0005-0000-0000-0000EF040000}"/>
    <cellStyle name="Euro" xfId="1338" xr:uid="{00000000-0005-0000-0000-0000F0040000}"/>
    <cellStyle name="Euro 2" xfId="1339" xr:uid="{00000000-0005-0000-0000-0000F1040000}"/>
    <cellStyle name="Excel Built-in Normal" xfId="1340" xr:uid="{00000000-0005-0000-0000-0000F2040000}"/>
    <cellStyle name="Excel Built-in Normal 2" xfId="1341" xr:uid="{00000000-0005-0000-0000-0000F3040000}"/>
    <cellStyle name="Excel Built-in Normal_2-BOQ- ESIC HOSPITAL AT CHANDIGARH-07.08.2012-R5" xfId="1342" xr:uid="{00000000-0005-0000-0000-0000F4040000}"/>
    <cellStyle name="Explanatory Text 10" xfId="1343" xr:uid="{00000000-0005-0000-0000-0000F5040000}"/>
    <cellStyle name="Explanatory Text 10 2" xfId="1344" xr:uid="{00000000-0005-0000-0000-0000F6040000}"/>
    <cellStyle name="Explanatory Text 11" xfId="1345" xr:uid="{00000000-0005-0000-0000-0000F7040000}"/>
    <cellStyle name="Explanatory Text 11 2" xfId="1346" xr:uid="{00000000-0005-0000-0000-0000F8040000}"/>
    <cellStyle name="Explanatory Text 12" xfId="1347" xr:uid="{00000000-0005-0000-0000-0000F9040000}"/>
    <cellStyle name="Explanatory Text 12 2" xfId="1348" xr:uid="{00000000-0005-0000-0000-0000FA040000}"/>
    <cellStyle name="Explanatory Text 13" xfId="1349" xr:uid="{00000000-0005-0000-0000-0000FB040000}"/>
    <cellStyle name="Explanatory Text 13 2" xfId="1350" xr:uid="{00000000-0005-0000-0000-0000FC040000}"/>
    <cellStyle name="Explanatory Text 14" xfId="1351" xr:uid="{00000000-0005-0000-0000-0000FD040000}"/>
    <cellStyle name="Explanatory Text 14 2" xfId="1352" xr:uid="{00000000-0005-0000-0000-0000FE040000}"/>
    <cellStyle name="Explanatory Text 15" xfId="1353" xr:uid="{00000000-0005-0000-0000-0000FF040000}"/>
    <cellStyle name="Explanatory Text 15 2" xfId="1354" xr:uid="{00000000-0005-0000-0000-000000050000}"/>
    <cellStyle name="Explanatory Text 16" xfId="1355" xr:uid="{00000000-0005-0000-0000-000001050000}"/>
    <cellStyle name="Explanatory Text 16 2" xfId="1356" xr:uid="{00000000-0005-0000-0000-000002050000}"/>
    <cellStyle name="Explanatory Text 17" xfId="1357" xr:uid="{00000000-0005-0000-0000-000003050000}"/>
    <cellStyle name="Explanatory Text 17 2" xfId="1358" xr:uid="{00000000-0005-0000-0000-000004050000}"/>
    <cellStyle name="Explanatory Text 18" xfId="1359" xr:uid="{00000000-0005-0000-0000-000005050000}"/>
    <cellStyle name="Explanatory Text 18 2" xfId="1360" xr:uid="{00000000-0005-0000-0000-000006050000}"/>
    <cellStyle name="Explanatory Text 19" xfId="1361" xr:uid="{00000000-0005-0000-0000-000007050000}"/>
    <cellStyle name="Explanatory Text 2" xfId="1362" xr:uid="{00000000-0005-0000-0000-000008050000}"/>
    <cellStyle name="Explanatory Text 2 2" xfId="1363" xr:uid="{00000000-0005-0000-0000-000009050000}"/>
    <cellStyle name="Explanatory Text 20" xfId="1364" xr:uid="{00000000-0005-0000-0000-00000A050000}"/>
    <cellStyle name="Explanatory Text 21" xfId="1365" xr:uid="{00000000-0005-0000-0000-00000B050000}"/>
    <cellStyle name="Explanatory Text 22" xfId="1366" xr:uid="{00000000-0005-0000-0000-00000C050000}"/>
    <cellStyle name="Explanatory Text 23" xfId="1367" xr:uid="{00000000-0005-0000-0000-00000D050000}"/>
    <cellStyle name="Explanatory Text 24" xfId="1368" xr:uid="{00000000-0005-0000-0000-00000E050000}"/>
    <cellStyle name="Explanatory Text 25" xfId="1369" xr:uid="{00000000-0005-0000-0000-00000F050000}"/>
    <cellStyle name="Explanatory Text 3" xfId="1370" xr:uid="{00000000-0005-0000-0000-000010050000}"/>
    <cellStyle name="Explanatory Text 3 2" xfId="1371" xr:uid="{00000000-0005-0000-0000-000011050000}"/>
    <cellStyle name="Explanatory Text 4" xfId="1372" xr:uid="{00000000-0005-0000-0000-000012050000}"/>
    <cellStyle name="Explanatory Text 4 2" xfId="1373" xr:uid="{00000000-0005-0000-0000-000013050000}"/>
    <cellStyle name="Explanatory Text 5" xfId="1374" xr:uid="{00000000-0005-0000-0000-000014050000}"/>
    <cellStyle name="Explanatory Text 5 2" xfId="1375" xr:uid="{00000000-0005-0000-0000-000015050000}"/>
    <cellStyle name="Explanatory Text 6" xfId="1376" xr:uid="{00000000-0005-0000-0000-000016050000}"/>
    <cellStyle name="Explanatory Text 6 2" xfId="1377" xr:uid="{00000000-0005-0000-0000-000017050000}"/>
    <cellStyle name="Explanatory Text 7" xfId="1378" xr:uid="{00000000-0005-0000-0000-000018050000}"/>
    <cellStyle name="Explanatory Text 7 2" xfId="1379" xr:uid="{00000000-0005-0000-0000-000019050000}"/>
    <cellStyle name="Explanatory Text 8" xfId="1380" xr:uid="{00000000-0005-0000-0000-00001A050000}"/>
    <cellStyle name="Explanatory Text 8 2" xfId="1381" xr:uid="{00000000-0005-0000-0000-00001B050000}"/>
    <cellStyle name="Explanatory Text 9" xfId="1382" xr:uid="{00000000-0005-0000-0000-00001C050000}"/>
    <cellStyle name="Explanatory Text 9 2" xfId="1383" xr:uid="{00000000-0005-0000-0000-00001D050000}"/>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10" xfId="1384" xr:uid="{00000000-0005-0000-0000-00003A050000}"/>
    <cellStyle name="Followed Hyperlink 11" xfId="1385" xr:uid="{00000000-0005-0000-0000-00003B050000}"/>
    <cellStyle name="Followed Hyperlink 12" xfId="1386" xr:uid="{00000000-0005-0000-0000-00003C050000}"/>
    <cellStyle name="Followed Hyperlink 13" xfId="1387" xr:uid="{00000000-0005-0000-0000-00003D050000}"/>
    <cellStyle name="Followed Hyperlink 14" xfId="1388" xr:uid="{00000000-0005-0000-0000-00003E050000}"/>
    <cellStyle name="Followed Hyperlink 15" xfId="1389" xr:uid="{00000000-0005-0000-0000-00003F050000}"/>
    <cellStyle name="Followed Hyperlink 16" xfId="1390" xr:uid="{00000000-0005-0000-0000-000040050000}"/>
    <cellStyle name="Followed Hyperlink 2" xfId="1391" xr:uid="{00000000-0005-0000-0000-000041050000}"/>
    <cellStyle name="Followed Hyperlink 3" xfId="1392" xr:uid="{00000000-0005-0000-0000-000042050000}"/>
    <cellStyle name="Followed Hyperlink 4" xfId="1393" xr:uid="{00000000-0005-0000-0000-000043050000}"/>
    <cellStyle name="Followed Hyperlink 5" xfId="1394" xr:uid="{00000000-0005-0000-0000-000044050000}"/>
    <cellStyle name="Followed Hyperlink 6" xfId="1395" xr:uid="{00000000-0005-0000-0000-000045050000}"/>
    <cellStyle name="Followed Hyperlink 7" xfId="1396" xr:uid="{00000000-0005-0000-0000-000046050000}"/>
    <cellStyle name="Followed Hyperlink 8" xfId="1397" xr:uid="{00000000-0005-0000-0000-000047050000}"/>
    <cellStyle name="Followed Hyperlink 9" xfId="1398" xr:uid="{00000000-0005-0000-0000-000048050000}"/>
    <cellStyle name="Good 10" xfId="1399" xr:uid="{00000000-0005-0000-0000-000049050000}"/>
    <cellStyle name="Good 10 2" xfId="1400" xr:uid="{00000000-0005-0000-0000-00004A050000}"/>
    <cellStyle name="Good 11" xfId="1401" xr:uid="{00000000-0005-0000-0000-00004B050000}"/>
    <cellStyle name="Good 11 2" xfId="1402" xr:uid="{00000000-0005-0000-0000-00004C050000}"/>
    <cellStyle name="Good 12" xfId="1403" xr:uid="{00000000-0005-0000-0000-00004D050000}"/>
    <cellStyle name="Good 12 2" xfId="1404" xr:uid="{00000000-0005-0000-0000-00004E050000}"/>
    <cellStyle name="Good 13" xfId="1405" xr:uid="{00000000-0005-0000-0000-00004F050000}"/>
    <cellStyle name="Good 13 2" xfId="1406" xr:uid="{00000000-0005-0000-0000-000050050000}"/>
    <cellStyle name="Good 14" xfId="1407" xr:uid="{00000000-0005-0000-0000-000051050000}"/>
    <cellStyle name="Good 14 2" xfId="1408" xr:uid="{00000000-0005-0000-0000-000052050000}"/>
    <cellStyle name="Good 15" xfId="1409" xr:uid="{00000000-0005-0000-0000-000053050000}"/>
    <cellStyle name="Good 15 2" xfId="1410" xr:uid="{00000000-0005-0000-0000-000054050000}"/>
    <cellStyle name="Good 16" xfId="1411" xr:uid="{00000000-0005-0000-0000-000055050000}"/>
    <cellStyle name="Good 16 2" xfId="1412" xr:uid="{00000000-0005-0000-0000-000056050000}"/>
    <cellStyle name="Good 17" xfId="1413" xr:uid="{00000000-0005-0000-0000-000057050000}"/>
    <cellStyle name="Good 17 2" xfId="1414" xr:uid="{00000000-0005-0000-0000-000058050000}"/>
    <cellStyle name="Good 18" xfId="1415" xr:uid="{00000000-0005-0000-0000-000059050000}"/>
    <cellStyle name="Good 18 2" xfId="1416" xr:uid="{00000000-0005-0000-0000-00005A050000}"/>
    <cellStyle name="Good 19" xfId="1417" xr:uid="{00000000-0005-0000-0000-00005B050000}"/>
    <cellStyle name="Good 2" xfId="1418" xr:uid="{00000000-0005-0000-0000-00005C050000}"/>
    <cellStyle name="Good 2 2" xfId="1419" xr:uid="{00000000-0005-0000-0000-00005D050000}"/>
    <cellStyle name="Good 20" xfId="1420" xr:uid="{00000000-0005-0000-0000-00005E050000}"/>
    <cellStyle name="Good 21" xfId="1421" xr:uid="{00000000-0005-0000-0000-00005F050000}"/>
    <cellStyle name="Good 22" xfId="1422" xr:uid="{00000000-0005-0000-0000-000060050000}"/>
    <cellStyle name="Good 23" xfId="1423" xr:uid="{00000000-0005-0000-0000-000061050000}"/>
    <cellStyle name="Good 24" xfId="1424" xr:uid="{00000000-0005-0000-0000-000062050000}"/>
    <cellStyle name="Good 25" xfId="1425" xr:uid="{00000000-0005-0000-0000-000063050000}"/>
    <cellStyle name="Good 3" xfId="1426" xr:uid="{00000000-0005-0000-0000-000064050000}"/>
    <cellStyle name="Good 3 2" xfId="1427" xr:uid="{00000000-0005-0000-0000-000065050000}"/>
    <cellStyle name="Good 4" xfId="1428" xr:uid="{00000000-0005-0000-0000-000066050000}"/>
    <cellStyle name="Good 4 2" xfId="1429" xr:uid="{00000000-0005-0000-0000-000067050000}"/>
    <cellStyle name="Good 5" xfId="1430" xr:uid="{00000000-0005-0000-0000-000068050000}"/>
    <cellStyle name="Good 5 2" xfId="1431" xr:uid="{00000000-0005-0000-0000-000069050000}"/>
    <cellStyle name="Good 6" xfId="1432" xr:uid="{00000000-0005-0000-0000-00006A050000}"/>
    <cellStyle name="Good 6 2" xfId="1433" xr:uid="{00000000-0005-0000-0000-00006B050000}"/>
    <cellStyle name="Good 7" xfId="1434" xr:uid="{00000000-0005-0000-0000-00006C050000}"/>
    <cellStyle name="Good 7 2" xfId="1435" xr:uid="{00000000-0005-0000-0000-00006D050000}"/>
    <cellStyle name="Good 8" xfId="1436" xr:uid="{00000000-0005-0000-0000-00006E050000}"/>
    <cellStyle name="Good 8 2" xfId="1437" xr:uid="{00000000-0005-0000-0000-00006F050000}"/>
    <cellStyle name="Good 9" xfId="1438" xr:uid="{00000000-0005-0000-0000-000070050000}"/>
    <cellStyle name="Good 9 2" xfId="1439" xr:uid="{00000000-0005-0000-0000-000071050000}"/>
    <cellStyle name="Heading 1 10" xfId="1440" xr:uid="{00000000-0005-0000-0000-000072050000}"/>
    <cellStyle name="Heading 1 10 2" xfId="1441" xr:uid="{00000000-0005-0000-0000-000073050000}"/>
    <cellStyle name="Heading 1 11" xfId="1442" xr:uid="{00000000-0005-0000-0000-000074050000}"/>
    <cellStyle name="Heading 1 11 2" xfId="1443" xr:uid="{00000000-0005-0000-0000-000075050000}"/>
    <cellStyle name="Heading 1 12" xfId="1444" xr:uid="{00000000-0005-0000-0000-000076050000}"/>
    <cellStyle name="Heading 1 12 2" xfId="1445" xr:uid="{00000000-0005-0000-0000-000077050000}"/>
    <cellStyle name="Heading 1 13" xfId="1446" xr:uid="{00000000-0005-0000-0000-000078050000}"/>
    <cellStyle name="Heading 1 13 2" xfId="1447" xr:uid="{00000000-0005-0000-0000-000079050000}"/>
    <cellStyle name="Heading 1 14" xfId="1448" xr:uid="{00000000-0005-0000-0000-00007A050000}"/>
    <cellStyle name="Heading 1 14 2" xfId="1449" xr:uid="{00000000-0005-0000-0000-00007B050000}"/>
    <cellStyle name="Heading 1 15" xfId="1450" xr:uid="{00000000-0005-0000-0000-00007C050000}"/>
    <cellStyle name="Heading 1 15 2" xfId="1451" xr:uid="{00000000-0005-0000-0000-00007D050000}"/>
    <cellStyle name="Heading 1 16" xfId="1452" xr:uid="{00000000-0005-0000-0000-00007E050000}"/>
    <cellStyle name="Heading 1 16 2" xfId="1453" xr:uid="{00000000-0005-0000-0000-00007F050000}"/>
    <cellStyle name="Heading 1 17" xfId="1454" xr:uid="{00000000-0005-0000-0000-000080050000}"/>
    <cellStyle name="Heading 1 17 2" xfId="1455" xr:uid="{00000000-0005-0000-0000-000081050000}"/>
    <cellStyle name="Heading 1 18" xfId="1456" xr:uid="{00000000-0005-0000-0000-000082050000}"/>
    <cellStyle name="Heading 1 18 2" xfId="1457" xr:uid="{00000000-0005-0000-0000-000083050000}"/>
    <cellStyle name="Heading 1 19" xfId="1458" xr:uid="{00000000-0005-0000-0000-000084050000}"/>
    <cellStyle name="Heading 1 2" xfId="1459" xr:uid="{00000000-0005-0000-0000-000085050000}"/>
    <cellStyle name="Heading 1 2 2" xfId="1460" xr:uid="{00000000-0005-0000-0000-000086050000}"/>
    <cellStyle name="Heading 1 20" xfId="1461" xr:uid="{00000000-0005-0000-0000-000087050000}"/>
    <cellStyle name="Heading 1 21" xfId="1462" xr:uid="{00000000-0005-0000-0000-000088050000}"/>
    <cellStyle name="Heading 1 22" xfId="1463" xr:uid="{00000000-0005-0000-0000-000089050000}"/>
    <cellStyle name="Heading 1 23" xfId="1464" xr:uid="{00000000-0005-0000-0000-00008A050000}"/>
    <cellStyle name="Heading 1 24" xfId="1465" xr:uid="{00000000-0005-0000-0000-00008B050000}"/>
    <cellStyle name="Heading 1 25" xfId="1466" xr:uid="{00000000-0005-0000-0000-00008C050000}"/>
    <cellStyle name="Heading 1 3" xfId="1467" xr:uid="{00000000-0005-0000-0000-00008D050000}"/>
    <cellStyle name="Heading 1 3 2" xfId="1468" xr:uid="{00000000-0005-0000-0000-00008E050000}"/>
    <cellStyle name="Heading 1 4" xfId="1469" xr:uid="{00000000-0005-0000-0000-00008F050000}"/>
    <cellStyle name="Heading 1 4 2" xfId="1470" xr:uid="{00000000-0005-0000-0000-000090050000}"/>
    <cellStyle name="Heading 1 5" xfId="1471" xr:uid="{00000000-0005-0000-0000-000091050000}"/>
    <cellStyle name="Heading 1 5 2" xfId="1472" xr:uid="{00000000-0005-0000-0000-000092050000}"/>
    <cellStyle name="Heading 1 6" xfId="1473" xr:uid="{00000000-0005-0000-0000-000093050000}"/>
    <cellStyle name="Heading 1 6 2" xfId="1474" xr:uid="{00000000-0005-0000-0000-000094050000}"/>
    <cellStyle name="Heading 1 7" xfId="1475" xr:uid="{00000000-0005-0000-0000-000095050000}"/>
    <cellStyle name="Heading 1 7 2" xfId="1476" xr:uid="{00000000-0005-0000-0000-000096050000}"/>
    <cellStyle name="Heading 1 8" xfId="1477" xr:uid="{00000000-0005-0000-0000-000097050000}"/>
    <cellStyle name="Heading 1 8 2" xfId="1478" xr:uid="{00000000-0005-0000-0000-000098050000}"/>
    <cellStyle name="Heading 1 9" xfId="1479" xr:uid="{00000000-0005-0000-0000-000099050000}"/>
    <cellStyle name="Heading 1 9 2" xfId="1480" xr:uid="{00000000-0005-0000-0000-00009A050000}"/>
    <cellStyle name="Heading 2 10" xfId="1481" xr:uid="{00000000-0005-0000-0000-00009B050000}"/>
    <cellStyle name="Heading 2 10 2" xfId="1482" xr:uid="{00000000-0005-0000-0000-00009C050000}"/>
    <cellStyle name="Heading 2 11" xfId="1483" xr:uid="{00000000-0005-0000-0000-00009D050000}"/>
    <cellStyle name="Heading 2 11 2" xfId="1484" xr:uid="{00000000-0005-0000-0000-00009E050000}"/>
    <cellStyle name="Heading 2 12" xfId="1485" xr:uid="{00000000-0005-0000-0000-00009F050000}"/>
    <cellStyle name="Heading 2 12 2" xfId="1486" xr:uid="{00000000-0005-0000-0000-0000A0050000}"/>
    <cellStyle name="Heading 2 13" xfId="1487" xr:uid="{00000000-0005-0000-0000-0000A1050000}"/>
    <cellStyle name="Heading 2 13 2" xfId="1488" xr:uid="{00000000-0005-0000-0000-0000A2050000}"/>
    <cellStyle name="Heading 2 14" xfId="1489" xr:uid="{00000000-0005-0000-0000-0000A3050000}"/>
    <cellStyle name="Heading 2 14 2" xfId="1490" xr:uid="{00000000-0005-0000-0000-0000A4050000}"/>
    <cellStyle name="Heading 2 15" xfId="1491" xr:uid="{00000000-0005-0000-0000-0000A5050000}"/>
    <cellStyle name="Heading 2 15 2" xfId="1492" xr:uid="{00000000-0005-0000-0000-0000A6050000}"/>
    <cellStyle name="Heading 2 16" xfId="1493" xr:uid="{00000000-0005-0000-0000-0000A7050000}"/>
    <cellStyle name="Heading 2 16 2" xfId="1494" xr:uid="{00000000-0005-0000-0000-0000A8050000}"/>
    <cellStyle name="Heading 2 17" xfId="1495" xr:uid="{00000000-0005-0000-0000-0000A9050000}"/>
    <cellStyle name="Heading 2 17 2" xfId="1496" xr:uid="{00000000-0005-0000-0000-0000AA050000}"/>
    <cellStyle name="Heading 2 18" xfId="1497" xr:uid="{00000000-0005-0000-0000-0000AB050000}"/>
    <cellStyle name="Heading 2 18 2" xfId="1498" xr:uid="{00000000-0005-0000-0000-0000AC050000}"/>
    <cellStyle name="Heading 2 19" xfId="1499" xr:uid="{00000000-0005-0000-0000-0000AD050000}"/>
    <cellStyle name="Heading 2 2" xfId="1500" xr:uid="{00000000-0005-0000-0000-0000AE050000}"/>
    <cellStyle name="Heading 2 2 2" xfId="1501" xr:uid="{00000000-0005-0000-0000-0000AF050000}"/>
    <cellStyle name="Heading 2 20" xfId="1502" xr:uid="{00000000-0005-0000-0000-0000B0050000}"/>
    <cellStyle name="Heading 2 21" xfId="1503" xr:uid="{00000000-0005-0000-0000-0000B1050000}"/>
    <cellStyle name="Heading 2 22" xfId="1504" xr:uid="{00000000-0005-0000-0000-0000B2050000}"/>
    <cellStyle name="Heading 2 23" xfId="1505" xr:uid="{00000000-0005-0000-0000-0000B3050000}"/>
    <cellStyle name="Heading 2 24" xfId="1506" xr:uid="{00000000-0005-0000-0000-0000B4050000}"/>
    <cellStyle name="Heading 2 25" xfId="1507" xr:uid="{00000000-0005-0000-0000-0000B5050000}"/>
    <cellStyle name="Heading 2 3" xfId="1508" xr:uid="{00000000-0005-0000-0000-0000B6050000}"/>
    <cellStyle name="Heading 2 3 2" xfId="1509" xr:uid="{00000000-0005-0000-0000-0000B7050000}"/>
    <cellStyle name="Heading 2 4" xfId="1510" xr:uid="{00000000-0005-0000-0000-0000B8050000}"/>
    <cellStyle name="Heading 2 4 2" xfId="1511" xr:uid="{00000000-0005-0000-0000-0000B9050000}"/>
    <cellStyle name="Heading 2 5" xfId="1512" xr:uid="{00000000-0005-0000-0000-0000BA050000}"/>
    <cellStyle name="Heading 2 5 2" xfId="1513" xr:uid="{00000000-0005-0000-0000-0000BB050000}"/>
    <cellStyle name="Heading 2 6" xfId="1514" xr:uid="{00000000-0005-0000-0000-0000BC050000}"/>
    <cellStyle name="Heading 2 6 2" xfId="1515" xr:uid="{00000000-0005-0000-0000-0000BD050000}"/>
    <cellStyle name="Heading 2 7" xfId="1516" xr:uid="{00000000-0005-0000-0000-0000BE050000}"/>
    <cellStyle name="Heading 2 7 2" xfId="1517" xr:uid="{00000000-0005-0000-0000-0000BF050000}"/>
    <cellStyle name="Heading 2 8" xfId="1518" xr:uid="{00000000-0005-0000-0000-0000C0050000}"/>
    <cellStyle name="Heading 2 8 2" xfId="1519" xr:uid="{00000000-0005-0000-0000-0000C1050000}"/>
    <cellStyle name="Heading 2 9" xfId="1520" xr:uid="{00000000-0005-0000-0000-0000C2050000}"/>
    <cellStyle name="Heading 2 9 2" xfId="1521" xr:uid="{00000000-0005-0000-0000-0000C3050000}"/>
    <cellStyle name="Heading 3 10" xfId="1522" xr:uid="{00000000-0005-0000-0000-0000C4050000}"/>
    <cellStyle name="Heading 3 10 2" xfId="1523" xr:uid="{00000000-0005-0000-0000-0000C5050000}"/>
    <cellStyle name="Heading 3 11" xfId="1524" xr:uid="{00000000-0005-0000-0000-0000C6050000}"/>
    <cellStyle name="Heading 3 11 2" xfId="1525" xr:uid="{00000000-0005-0000-0000-0000C7050000}"/>
    <cellStyle name="Heading 3 12" xfId="1526" xr:uid="{00000000-0005-0000-0000-0000C8050000}"/>
    <cellStyle name="Heading 3 12 2" xfId="1527" xr:uid="{00000000-0005-0000-0000-0000C9050000}"/>
    <cellStyle name="Heading 3 13" xfId="1528" xr:uid="{00000000-0005-0000-0000-0000CA050000}"/>
    <cellStyle name="Heading 3 13 2" xfId="1529" xr:uid="{00000000-0005-0000-0000-0000CB050000}"/>
    <cellStyle name="Heading 3 14" xfId="1530" xr:uid="{00000000-0005-0000-0000-0000CC050000}"/>
    <cellStyle name="Heading 3 14 2" xfId="1531" xr:uid="{00000000-0005-0000-0000-0000CD050000}"/>
    <cellStyle name="Heading 3 15" xfId="1532" xr:uid="{00000000-0005-0000-0000-0000CE050000}"/>
    <cellStyle name="Heading 3 15 2" xfId="1533" xr:uid="{00000000-0005-0000-0000-0000CF050000}"/>
    <cellStyle name="Heading 3 16" xfId="1534" xr:uid="{00000000-0005-0000-0000-0000D0050000}"/>
    <cellStyle name="Heading 3 16 2" xfId="1535" xr:uid="{00000000-0005-0000-0000-0000D1050000}"/>
    <cellStyle name="Heading 3 17" xfId="1536" xr:uid="{00000000-0005-0000-0000-0000D2050000}"/>
    <cellStyle name="Heading 3 17 2" xfId="1537" xr:uid="{00000000-0005-0000-0000-0000D3050000}"/>
    <cellStyle name="Heading 3 18" xfId="1538" xr:uid="{00000000-0005-0000-0000-0000D4050000}"/>
    <cellStyle name="Heading 3 18 2" xfId="1539" xr:uid="{00000000-0005-0000-0000-0000D5050000}"/>
    <cellStyle name="Heading 3 19" xfId="1540" xr:uid="{00000000-0005-0000-0000-0000D6050000}"/>
    <cellStyle name="Heading 3 2" xfId="1541" xr:uid="{00000000-0005-0000-0000-0000D7050000}"/>
    <cellStyle name="Heading 3 2 2" xfId="1542" xr:uid="{00000000-0005-0000-0000-0000D8050000}"/>
    <cellStyle name="Heading 3 20" xfId="1543" xr:uid="{00000000-0005-0000-0000-0000D9050000}"/>
    <cellStyle name="Heading 3 21" xfId="1544" xr:uid="{00000000-0005-0000-0000-0000DA050000}"/>
    <cellStyle name="Heading 3 22" xfId="1545" xr:uid="{00000000-0005-0000-0000-0000DB050000}"/>
    <cellStyle name="Heading 3 23" xfId="1546" xr:uid="{00000000-0005-0000-0000-0000DC050000}"/>
    <cellStyle name="Heading 3 24" xfId="1547" xr:uid="{00000000-0005-0000-0000-0000DD050000}"/>
    <cellStyle name="Heading 3 25" xfId="1548" xr:uid="{00000000-0005-0000-0000-0000DE050000}"/>
    <cellStyle name="Heading 3 3" xfId="1549" xr:uid="{00000000-0005-0000-0000-0000DF050000}"/>
    <cellStyle name="Heading 3 3 2" xfId="1550" xr:uid="{00000000-0005-0000-0000-0000E0050000}"/>
    <cellStyle name="Heading 3 4" xfId="1551" xr:uid="{00000000-0005-0000-0000-0000E1050000}"/>
    <cellStyle name="Heading 3 4 2" xfId="1552" xr:uid="{00000000-0005-0000-0000-0000E2050000}"/>
    <cellStyle name="Heading 3 5" xfId="1553" xr:uid="{00000000-0005-0000-0000-0000E3050000}"/>
    <cellStyle name="Heading 3 5 2" xfId="1554" xr:uid="{00000000-0005-0000-0000-0000E4050000}"/>
    <cellStyle name="Heading 3 6" xfId="1555" xr:uid="{00000000-0005-0000-0000-0000E5050000}"/>
    <cellStyle name="Heading 3 6 2" xfId="1556" xr:uid="{00000000-0005-0000-0000-0000E6050000}"/>
    <cellStyle name="Heading 3 7" xfId="1557" xr:uid="{00000000-0005-0000-0000-0000E7050000}"/>
    <cellStyle name="Heading 3 7 2" xfId="1558" xr:uid="{00000000-0005-0000-0000-0000E8050000}"/>
    <cellStyle name="Heading 3 8" xfId="1559" xr:uid="{00000000-0005-0000-0000-0000E9050000}"/>
    <cellStyle name="Heading 3 8 2" xfId="1560" xr:uid="{00000000-0005-0000-0000-0000EA050000}"/>
    <cellStyle name="Heading 3 9" xfId="1561" xr:uid="{00000000-0005-0000-0000-0000EB050000}"/>
    <cellStyle name="Heading 3 9 2" xfId="1562" xr:uid="{00000000-0005-0000-0000-0000EC050000}"/>
    <cellStyle name="Heading 4 10" xfId="1563" xr:uid="{00000000-0005-0000-0000-0000ED050000}"/>
    <cellStyle name="Heading 4 10 2" xfId="1564" xr:uid="{00000000-0005-0000-0000-0000EE050000}"/>
    <cellStyle name="Heading 4 11" xfId="1565" xr:uid="{00000000-0005-0000-0000-0000EF050000}"/>
    <cellStyle name="Heading 4 11 2" xfId="1566" xr:uid="{00000000-0005-0000-0000-0000F0050000}"/>
    <cellStyle name="Heading 4 12" xfId="1567" xr:uid="{00000000-0005-0000-0000-0000F1050000}"/>
    <cellStyle name="Heading 4 12 2" xfId="1568" xr:uid="{00000000-0005-0000-0000-0000F2050000}"/>
    <cellStyle name="Heading 4 13" xfId="1569" xr:uid="{00000000-0005-0000-0000-0000F3050000}"/>
    <cellStyle name="Heading 4 13 2" xfId="1570" xr:uid="{00000000-0005-0000-0000-0000F4050000}"/>
    <cellStyle name="Heading 4 14" xfId="1571" xr:uid="{00000000-0005-0000-0000-0000F5050000}"/>
    <cellStyle name="Heading 4 14 2" xfId="1572" xr:uid="{00000000-0005-0000-0000-0000F6050000}"/>
    <cellStyle name="Heading 4 15" xfId="1573" xr:uid="{00000000-0005-0000-0000-0000F7050000}"/>
    <cellStyle name="Heading 4 15 2" xfId="1574" xr:uid="{00000000-0005-0000-0000-0000F8050000}"/>
    <cellStyle name="Heading 4 16" xfId="1575" xr:uid="{00000000-0005-0000-0000-0000F9050000}"/>
    <cellStyle name="Heading 4 16 2" xfId="1576" xr:uid="{00000000-0005-0000-0000-0000FA050000}"/>
    <cellStyle name="Heading 4 17" xfId="1577" xr:uid="{00000000-0005-0000-0000-0000FB050000}"/>
    <cellStyle name="Heading 4 17 2" xfId="1578" xr:uid="{00000000-0005-0000-0000-0000FC050000}"/>
    <cellStyle name="Heading 4 18" xfId="1579" xr:uid="{00000000-0005-0000-0000-0000FD050000}"/>
    <cellStyle name="Heading 4 18 2" xfId="1580" xr:uid="{00000000-0005-0000-0000-0000FE050000}"/>
    <cellStyle name="Heading 4 19" xfId="1581" xr:uid="{00000000-0005-0000-0000-0000FF050000}"/>
    <cellStyle name="Heading 4 2" xfId="1582" xr:uid="{00000000-0005-0000-0000-000000060000}"/>
    <cellStyle name="Heading 4 2 2" xfId="1583" xr:uid="{00000000-0005-0000-0000-000001060000}"/>
    <cellStyle name="Heading 4 20" xfId="1584" xr:uid="{00000000-0005-0000-0000-000002060000}"/>
    <cellStyle name="Heading 4 21" xfId="1585" xr:uid="{00000000-0005-0000-0000-000003060000}"/>
    <cellStyle name="Heading 4 22" xfId="1586" xr:uid="{00000000-0005-0000-0000-000004060000}"/>
    <cellStyle name="Heading 4 23" xfId="1587" xr:uid="{00000000-0005-0000-0000-000005060000}"/>
    <cellStyle name="Heading 4 24" xfId="1588" xr:uid="{00000000-0005-0000-0000-000006060000}"/>
    <cellStyle name="Heading 4 25" xfId="1589" xr:uid="{00000000-0005-0000-0000-000007060000}"/>
    <cellStyle name="Heading 4 3" xfId="1590" xr:uid="{00000000-0005-0000-0000-000008060000}"/>
    <cellStyle name="Heading 4 3 2" xfId="1591" xr:uid="{00000000-0005-0000-0000-000009060000}"/>
    <cellStyle name="Heading 4 4" xfId="1592" xr:uid="{00000000-0005-0000-0000-00000A060000}"/>
    <cellStyle name="Heading 4 4 2" xfId="1593" xr:uid="{00000000-0005-0000-0000-00000B060000}"/>
    <cellStyle name="Heading 4 5" xfId="1594" xr:uid="{00000000-0005-0000-0000-00000C060000}"/>
    <cellStyle name="Heading 4 5 2" xfId="1595" xr:uid="{00000000-0005-0000-0000-00000D060000}"/>
    <cellStyle name="Heading 4 6" xfId="1596" xr:uid="{00000000-0005-0000-0000-00000E060000}"/>
    <cellStyle name="Heading 4 6 2" xfId="1597" xr:uid="{00000000-0005-0000-0000-00000F060000}"/>
    <cellStyle name="Heading 4 7" xfId="1598" xr:uid="{00000000-0005-0000-0000-000010060000}"/>
    <cellStyle name="Heading 4 7 2" xfId="1599" xr:uid="{00000000-0005-0000-0000-000011060000}"/>
    <cellStyle name="Heading 4 8" xfId="1600" xr:uid="{00000000-0005-0000-0000-000012060000}"/>
    <cellStyle name="Heading 4 8 2" xfId="1601" xr:uid="{00000000-0005-0000-0000-000013060000}"/>
    <cellStyle name="Heading 4 9" xfId="1602" xr:uid="{00000000-0005-0000-0000-000014060000}"/>
    <cellStyle name="Heading 4 9 2" xfId="1603" xr:uid="{00000000-0005-0000-0000-000015060000}"/>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10" xfId="1604" xr:uid="{00000000-0005-0000-0000-000032060000}"/>
    <cellStyle name="Hyperlink 10 2" xfId="1605" xr:uid="{00000000-0005-0000-0000-000033060000}"/>
    <cellStyle name="Hyperlink 11" xfId="1606" xr:uid="{00000000-0005-0000-0000-000034060000}"/>
    <cellStyle name="Hyperlink 11 2" xfId="1607" xr:uid="{00000000-0005-0000-0000-000035060000}"/>
    <cellStyle name="Hyperlink 12" xfId="1608" xr:uid="{00000000-0005-0000-0000-000036060000}"/>
    <cellStyle name="Hyperlink 13" xfId="1609" xr:uid="{00000000-0005-0000-0000-000037060000}"/>
    <cellStyle name="Hyperlink 14" xfId="1610" xr:uid="{00000000-0005-0000-0000-000038060000}"/>
    <cellStyle name="Hyperlink 15" xfId="1611" xr:uid="{00000000-0005-0000-0000-000039060000}"/>
    <cellStyle name="Hyperlink 16" xfId="1612" xr:uid="{00000000-0005-0000-0000-00003A060000}"/>
    <cellStyle name="Hyperlink 2" xfId="1613" xr:uid="{00000000-0005-0000-0000-00003B060000}"/>
    <cellStyle name="Hyperlink 2 2" xfId="1614" xr:uid="{00000000-0005-0000-0000-00003C060000}"/>
    <cellStyle name="Hyperlink 3" xfId="1615" xr:uid="{00000000-0005-0000-0000-00003D060000}"/>
    <cellStyle name="Hyperlink 3 2" xfId="1616" xr:uid="{00000000-0005-0000-0000-00003E060000}"/>
    <cellStyle name="Hyperlink 4" xfId="1617" xr:uid="{00000000-0005-0000-0000-00003F060000}"/>
    <cellStyle name="Hyperlink 4 2" xfId="1618" xr:uid="{00000000-0005-0000-0000-000040060000}"/>
    <cellStyle name="Hyperlink 5" xfId="1619" xr:uid="{00000000-0005-0000-0000-000041060000}"/>
    <cellStyle name="Hyperlink 5 2" xfId="1620" xr:uid="{00000000-0005-0000-0000-000042060000}"/>
    <cellStyle name="Hyperlink 6" xfId="1621" xr:uid="{00000000-0005-0000-0000-000043060000}"/>
    <cellStyle name="Hyperlink 6 2" xfId="1622" xr:uid="{00000000-0005-0000-0000-000044060000}"/>
    <cellStyle name="Hyperlink 7" xfId="1623" xr:uid="{00000000-0005-0000-0000-000045060000}"/>
    <cellStyle name="Hyperlink 7 2" xfId="1624" xr:uid="{00000000-0005-0000-0000-000046060000}"/>
    <cellStyle name="Hyperlink 8" xfId="1625" xr:uid="{00000000-0005-0000-0000-000047060000}"/>
    <cellStyle name="Hyperlink 8 2" xfId="1626" xr:uid="{00000000-0005-0000-0000-000048060000}"/>
    <cellStyle name="Hyperlink 9" xfId="1627" xr:uid="{00000000-0005-0000-0000-000049060000}"/>
    <cellStyle name="Hyperlink 9 2" xfId="1628" xr:uid="{00000000-0005-0000-0000-00004A060000}"/>
    <cellStyle name="Input 10" xfId="1629" xr:uid="{00000000-0005-0000-0000-00004B060000}"/>
    <cellStyle name="Input 10 2" xfId="1630" xr:uid="{00000000-0005-0000-0000-00004C060000}"/>
    <cellStyle name="Input 10_STR_BOQ_Dental College" xfId="1631" xr:uid="{00000000-0005-0000-0000-00004D060000}"/>
    <cellStyle name="Input 11" xfId="1632" xr:uid="{00000000-0005-0000-0000-00004E060000}"/>
    <cellStyle name="Input 11 2" xfId="1633" xr:uid="{00000000-0005-0000-0000-00004F060000}"/>
    <cellStyle name="Input 11_STR_BOQ_Dental College" xfId="1634" xr:uid="{00000000-0005-0000-0000-000050060000}"/>
    <cellStyle name="Input 12" xfId="1635" xr:uid="{00000000-0005-0000-0000-000051060000}"/>
    <cellStyle name="Input 12 2" xfId="1636" xr:uid="{00000000-0005-0000-0000-000052060000}"/>
    <cellStyle name="Input 12_STR_BOQ_Dental College" xfId="1637" xr:uid="{00000000-0005-0000-0000-000053060000}"/>
    <cellStyle name="Input 13" xfId="1638" xr:uid="{00000000-0005-0000-0000-000054060000}"/>
    <cellStyle name="Input 13 2" xfId="1639" xr:uid="{00000000-0005-0000-0000-000055060000}"/>
    <cellStyle name="Input 13_STR_BOQ_Dental College" xfId="1640" xr:uid="{00000000-0005-0000-0000-000056060000}"/>
    <cellStyle name="Input 14" xfId="1641" xr:uid="{00000000-0005-0000-0000-000057060000}"/>
    <cellStyle name="Input 14 2" xfId="1642" xr:uid="{00000000-0005-0000-0000-000058060000}"/>
    <cellStyle name="Input 14_STR_BOQ_Dental College" xfId="1643" xr:uid="{00000000-0005-0000-0000-000059060000}"/>
    <cellStyle name="Input 15" xfId="1644" xr:uid="{00000000-0005-0000-0000-00005A060000}"/>
    <cellStyle name="Input 15 2" xfId="1645" xr:uid="{00000000-0005-0000-0000-00005B060000}"/>
    <cellStyle name="Input 15_STR_BOQ_Dental College" xfId="1646" xr:uid="{00000000-0005-0000-0000-00005C060000}"/>
    <cellStyle name="Input 16" xfId="1647" xr:uid="{00000000-0005-0000-0000-00005D060000}"/>
    <cellStyle name="Input 16 2" xfId="1648" xr:uid="{00000000-0005-0000-0000-00005E060000}"/>
    <cellStyle name="Input 16_STR_BOQ_Dental College" xfId="1649" xr:uid="{00000000-0005-0000-0000-00005F060000}"/>
    <cellStyle name="Input 17" xfId="1650" xr:uid="{00000000-0005-0000-0000-000060060000}"/>
    <cellStyle name="Input 17 2" xfId="1651" xr:uid="{00000000-0005-0000-0000-000061060000}"/>
    <cellStyle name="Input 17_STR_BOQ_Dental College" xfId="1652" xr:uid="{00000000-0005-0000-0000-000062060000}"/>
    <cellStyle name="Input 18" xfId="1653" xr:uid="{00000000-0005-0000-0000-000063060000}"/>
    <cellStyle name="Input 18 2" xfId="1654" xr:uid="{00000000-0005-0000-0000-000064060000}"/>
    <cellStyle name="Input 18_STR_BOQ_Dental College" xfId="1655" xr:uid="{00000000-0005-0000-0000-000065060000}"/>
    <cellStyle name="Input 19" xfId="1656" xr:uid="{00000000-0005-0000-0000-000066060000}"/>
    <cellStyle name="Input 2" xfId="1657" xr:uid="{00000000-0005-0000-0000-000067060000}"/>
    <cellStyle name="Input 2 2" xfId="1658" xr:uid="{00000000-0005-0000-0000-000068060000}"/>
    <cellStyle name="Input 2_STR_BOQ_Dental College" xfId="1659" xr:uid="{00000000-0005-0000-0000-000069060000}"/>
    <cellStyle name="Input 20" xfId="1660" xr:uid="{00000000-0005-0000-0000-00006A060000}"/>
    <cellStyle name="Input 21" xfId="1661" xr:uid="{00000000-0005-0000-0000-00006B060000}"/>
    <cellStyle name="Input 22" xfId="1662" xr:uid="{00000000-0005-0000-0000-00006C060000}"/>
    <cellStyle name="Input 23" xfId="1663" xr:uid="{00000000-0005-0000-0000-00006D060000}"/>
    <cellStyle name="Input 24" xfId="1664" xr:uid="{00000000-0005-0000-0000-00006E060000}"/>
    <cellStyle name="Input 25" xfId="1665" xr:uid="{00000000-0005-0000-0000-00006F060000}"/>
    <cellStyle name="Input 3" xfId="1666" xr:uid="{00000000-0005-0000-0000-000070060000}"/>
    <cellStyle name="Input 3 2" xfId="1667" xr:uid="{00000000-0005-0000-0000-000071060000}"/>
    <cellStyle name="Input 3_STR_BOQ_Dental College" xfId="1668" xr:uid="{00000000-0005-0000-0000-000072060000}"/>
    <cellStyle name="Input 4" xfId="1669" xr:uid="{00000000-0005-0000-0000-000073060000}"/>
    <cellStyle name="Input 4 2" xfId="1670" xr:uid="{00000000-0005-0000-0000-000074060000}"/>
    <cellStyle name="Input 4_STR_BOQ_Dental College" xfId="1671" xr:uid="{00000000-0005-0000-0000-000075060000}"/>
    <cellStyle name="Input 5" xfId="1672" xr:uid="{00000000-0005-0000-0000-000076060000}"/>
    <cellStyle name="Input 5 2" xfId="1673" xr:uid="{00000000-0005-0000-0000-000077060000}"/>
    <cellStyle name="Input 5_STR_BOQ_Dental College" xfId="1674" xr:uid="{00000000-0005-0000-0000-000078060000}"/>
    <cellStyle name="Input 6" xfId="1675" xr:uid="{00000000-0005-0000-0000-000079060000}"/>
    <cellStyle name="Input 6 2" xfId="1676" xr:uid="{00000000-0005-0000-0000-00007A060000}"/>
    <cellStyle name="Input 6_STR_BOQ_Dental College" xfId="1677" xr:uid="{00000000-0005-0000-0000-00007B060000}"/>
    <cellStyle name="Input 7" xfId="1678" xr:uid="{00000000-0005-0000-0000-00007C060000}"/>
    <cellStyle name="Input 7 2" xfId="1679" xr:uid="{00000000-0005-0000-0000-00007D060000}"/>
    <cellStyle name="Input 7_STR_BOQ_Dental College" xfId="1680" xr:uid="{00000000-0005-0000-0000-00007E060000}"/>
    <cellStyle name="Input 8" xfId="1681" xr:uid="{00000000-0005-0000-0000-00007F060000}"/>
    <cellStyle name="Input 8 2" xfId="1682" xr:uid="{00000000-0005-0000-0000-000080060000}"/>
    <cellStyle name="Input 8_STR_BOQ_Dental College" xfId="1683" xr:uid="{00000000-0005-0000-0000-000081060000}"/>
    <cellStyle name="Input 9" xfId="1684" xr:uid="{00000000-0005-0000-0000-000082060000}"/>
    <cellStyle name="Input 9 2" xfId="1685" xr:uid="{00000000-0005-0000-0000-000083060000}"/>
    <cellStyle name="Input 9_STR_BOQ_Dental College" xfId="1686" xr:uid="{00000000-0005-0000-0000-000084060000}"/>
    <cellStyle name="Linked Cell 10" xfId="1687" xr:uid="{00000000-0005-0000-0000-000085060000}"/>
    <cellStyle name="Linked Cell 10 2" xfId="1688" xr:uid="{00000000-0005-0000-0000-000086060000}"/>
    <cellStyle name="Linked Cell 10_STR_BOQ_Dental College" xfId="1689" xr:uid="{00000000-0005-0000-0000-000087060000}"/>
    <cellStyle name="Linked Cell 11" xfId="1690" xr:uid="{00000000-0005-0000-0000-000088060000}"/>
    <cellStyle name="Linked Cell 11 2" xfId="1691" xr:uid="{00000000-0005-0000-0000-000089060000}"/>
    <cellStyle name="Linked Cell 11_STR_BOQ_Dental College" xfId="1692" xr:uid="{00000000-0005-0000-0000-00008A060000}"/>
    <cellStyle name="Linked Cell 12" xfId="1693" xr:uid="{00000000-0005-0000-0000-00008B060000}"/>
    <cellStyle name="Linked Cell 12 2" xfId="1694" xr:uid="{00000000-0005-0000-0000-00008C060000}"/>
    <cellStyle name="Linked Cell 12_STR_BOQ_Dental College" xfId="1695" xr:uid="{00000000-0005-0000-0000-00008D060000}"/>
    <cellStyle name="Linked Cell 13" xfId="1696" xr:uid="{00000000-0005-0000-0000-00008E060000}"/>
    <cellStyle name="Linked Cell 13 2" xfId="1697" xr:uid="{00000000-0005-0000-0000-00008F060000}"/>
    <cellStyle name="Linked Cell 13_STR_BOQ_Dental College" xfId="1698" xr:uid="{00000000-0005-0000-0000-000090060000}"/>
    <cellStyle name="Linked Cell 14" xfId="1699" xr:uid="{00000000-0005-0000-0000-000091060000}"/>
    <cellStyle name="Linked Cell 14 2" xfId="1700" xr:uid="{00000000-0005-0000-0000-000092060000}"/>
    <cellStyle name="Linked Cell 14_STR_BOQ_Dental College" xfId="1701" xr:uid="{00000000-0005-0000-0000-000093060000}"/>
    <cellStyle name="Linked Cell 15" xfId="1702" xr:uid="{00000000-0005-0000-0000-000094060000}"/>
    <cellStyle name="Linked Cell 15 2" xfId="1703" xr:uid="{00000000-0005-0000-0000-000095060000}"/>
    <cellStyle name="Linked Cell 15_STR_BOQ_Dental College" xfId="1704" xr:uid="{00000000-0005-0000-0000-000096060000}"/>
    <cellStyle name="Linked Cell 16" xfId="1705" xr:uid="{00000000-0005-0000-0000-000097060000}"/>
    <cellStyle name="Linked Cell 16 2" xfId="1706" xr:uid="{00000000-0005-0000-0000-000098060000}"/>
    <cellStyle name="Linked Cell 16_STR_BOQ_Dental College" xfId="1707" xr:uid="{00000000-0005-0000-0000-000099060000}"/>
    <cellStyle name="Linked Cell 17" xfId="1708" xr:uid="{00000000-0005-0000-0000-00009A060000}"/>
    <cellStyle name="Linked Cell 17 2" xfId="1709" xr:uid="{00000000-0005-0000-0000-00009B060000}"/>
    <cellStyle name="Linked Cell 17_STR_BOQ_Dental College" xfId="1710" xr:uid="{00000000-0005-0000-0000-00009C060000}"/>
    <cellStyle name="Linked Cell 18" xfId="1711" xr:uid="{00000000-0005-0000-0000-00009D060000}"/>
    <cellStyle name="Linked Cell 18 2" xfId="1712" xr:uid="{00000000-0005-0000-0000-00009E060000}"/>
    <cellStyle name="Linked Cell 18_STR_BOQ_Dental College" xfId="1713" xr:uid="{00000000-0005-0000-0000-00009F060000}"/>
    <cellStyle name="Linked Cell 19" xfId="1714" xr:uid="{00000000-0005-0000-0000-0000A0060000}"/>
    <cellStyle name="Linked Cell 2" xfId="1715" xr:uid="{00000000-0005-0000-0000-0000A1060000}"/>
    <cellStyle name="Linked Cell 2 2" xfId="1716" xr:uid="{00000000-0005-0000-0000-0000A2060000}"/>
    <cellStyle name="Linked Cell 2_STR_BOQ_Dental College" xfId="1717" xr:uid="{00000000-0005-0000-0000-0000A3060000}"/>
    <cellStyle name="Linked Cell 20" xfId="1718" xr:uid="{00000000-0005-0000-0000-0000A4060000}"/>
    <cellStyle name="Linked Cell 21" xfId="1719" xr:uid="{00000000-0005-0000-0000-0000A5060000}"/>
    <cellStyle name="Linked Cell 22" xfId="1720" xr:uid="{00000000-0005-0000-0000-0000A6060000}"/>
    <cellStyle name="Linked Cell 23" xfId="1721" xr:uid="{00000000-0005-0000-0000-0000A7060000}"/>
    <cellStyle name="Linked Cell 24" xfId="1722" xr:uid="{00000000-0005-0000-0000-0000A8060000}"/>
    <cellStyle name="Linked Cell 25" xfId="1723" xr:uid="{00000000-0005-0000-0000-0000A9060000}"/>
    <cellStyle name="Linked Cell 3" xfId="1724" xr:uid="{00000000-0005-0000-0000-0000AA060000}"/>
    <cellStyle name="Linked Cell 3 2" xfId="1725" xr:uid="{00000000-0005-0000-0000-0000AB060000}"/>
    <cellStyle name="Linked Cell 3_STR_BOQ_Dental College" xfId="1726" xr:uid="{00000000-0005-0000-0000-0000AC060000}"/>
    <cellStyle name="Linked Cell 4" xfId="1727" xr:uid="{00000000-0005-0000-0000-0000AD060000}"/>
    <cellStyle name="Linked Cell 4 2" xfId="1728" xr:uid="{00000000-0005-0000-0000-0000AE060000}"/>
    <cellStyle name="Linked Cell 4_STR_BOQ_Dental College" xfId="1729" xr:uid="{00000000-0005-0000-0000-0000AF060000}"/>
    <cellStyle name="Linked Cell 5" xfId="1730" xr:uid="{00000000-0005-0000-0000-0000B0060000}"/>
    <cellStyle name="Linked Cell 5 2" xfId="1731" xr:uid="{00000000-0005-0000-0000-0000B1060000}"/>
    <cellStyle name="Linked Cell 5_STR_BOQ_Dental College" xfId="1732" xr:uid="{00000000-0005-0000-0000-0000B2060000}"/>
    <cellStyle name="Linked Cell 6" xfId="1733" xr:uid="{00000000-0005-0000-0000-0000B3060000}"/>
    <cellStyle name="Linked Cell 6 2" xfId="1734" xr:uid="{00000000-0005-0000-0000-0000B4060000}"/>
    <cellStyle name="Linked Cell 6_STR_BOQ_Dental College" xfId="1735" xr:uid="{00000000-0005-0000-0000-0000B5060000}"/>
    <cellStyle name="Linked Cell 7" xfId="1736" xr:uid="{00000000-0005-0000-0000-0000B6060000}"/>
    <cellStyle name="Linked Cell 7 2" xfId="1737" xr:uid="{00000000-0005-0000-0000-0000B7060000}"/>
    <cellStyle name="Linked Cell 7_STR_BOQ_Dental College" xfId="1738" xr:uid="{00000000-0005-0000-0000-0000B8060000}"/>
    <cellStyle name="Linked Cell 8" xfId="1739" xr:uid="{00000000-0005-0000-0000-0000B9060000}"/>
    <cellStyle name="Linked Cell 8 2" xfId="1740" xr:uid="{00000000-0005-0000-0000-0000BA060000}"/>
    <cellStyle name="Linked Cell 8_STR_BOQ_Dental College" xfId="1741" xr:uid="{00000000-0005-0000-0000-0000BB060000}"/>
    <cellStyle name="Linked Cell 9" xfId="1742" xr:uid="{00000000-0005-0000-0000-0000BC060000}"/>
    <cellStyle name="Linked Cell 9 2" xfId="1743" xr:uid="{00000000-0005-0000-0000-0000BD060000}"/>
    <cellStyle name="Linked Cell 9_STR_BOQ_Dental College" xfId="1744" xr:uid="{00000000-0005-0000-0000-0000BE060000}"/>
    <cellStyle name="Neutral 10" xfId="1745" xr:uid="{00000000-0005-0000-0000-0000BF060000}"/>
    <cellStyle name="Neutral 10 2" xfId="1746" xr:uid="{00000000-0005-0000-0000-0000C0060000}"/>
    <cellStyle name="Neutral 11" xfId="1747" xr:uid="{00000000-0005-0000-0000-0000C1060000}"/>
    <cellStyle name="Neutral 11 2" xfId="1748" xr:uid="{00000000-0005-0000-0000-0000C2060000}"/>
    <cellStyle name="Neutral 12" xfId="1749" xr:uid="{00000000-0005-0000-0000-0000C3060000}"/>
    <cellStyle name="Neutral 12 2" xfId="1750" xr:uid="{00000000-0005-0000-0000-0000C4060000}"/>
    <cellStyle name="Neutral 13" xfId="1751" xr:uid="{00000000-0005-0000-0000-0000C5060000}"/>
    <cellStyle name="Neutral 13 2" xfId="1752" xr:uid="{00000000-0005-0000-0000-0000C6060000}"/>
    <cellStyle name="Neutral 14" xfId="1753" xr:uid="{00000000-0005-0000-0000-0000C7060000}"/>
    <cellStyle name="Neutral 14 2" xfId="1754" xr:uid="{00000000-0005-0000-0000-0000C8060000}"/>
    <cellStyle name="Neutral 15" xfId="1755" xr:uid="{00000000-0005-0000-0000-0000C9060000}"/>
    <cellStyle name="Neutral 15 2" xfId="1756" xr:uid="{00000000-0005-0000-0000-0000CA060000}"/>
    <cellStyle name="Neutral 16" xfId="1757" xr:uid="{00000000-0005-0000-0000-0000CB060000}"/>
    <cellStyle name="Neutral 16 2" xfId="1758" xr:uid="{00000000-0005-0000-0000-0000CC060000}"/>
    <cellStyle name="Neutral 17" xfId="1759" xr:uid="{00000000-0005-0000-0000-0000CD060000}"/>
    <cellStyle name="Neutral 17 2" xfId="1760" xr:uid="{00000000-0005-0000-0000-0000CE060000}"/>
    <cellStyle name="Neutral 18" xfId="1761" xr:uid="{00000000-0005-0000-0000-0000CF060000}"/>
    <cellStyle name="Neutral 18 2" xfId="1762" xr:uid="{00000000-0005-0000-0000-0000D0060000}"/>
    <cellStyle name="Neutral 19" xfId="1763" xr:uid="{00000000-0005-0000-0000-0000D1060000}"/>
    <cellStyle name="Neutral 2" xfId="1764" xr:uid="{00000000-0005-0000-0000-0000D2060000}"/>
    <cellStyle name="Neutral 2 2" xfId="1765" xr:uid="{00000000-0005-0000-0000-0000D3060000}"/>
    <cellStyle name="Neutral 20" xfId="1766" xr:uid="{00000000-0005-0000-0000-0000D4060000}"/>
    <cellStyle name="Neutral 21" xfId="1767" xr:uid="{00000000-0005-0000-0000-0000D5060000}"/>
    <cellStyle name="Neutral 22" xfId="1768" xr:uid="{00000000-0005-0000-0000-0000D6060000}"/>
    <cellStyle name="Neutral 23" xfId="1769" xr:uid="{00000000-0005-0000-0000-0000D7060000}"/>
    <cellStyle name="Neutral 24" xfId="1770" xr:uid="{00000000-0005-0000-0000-0000D8060000}"/>
    <cellStyle name="Neutral 25" xfId="1771" xr:uid="{00000000-0005-0000-0000-0000D9060000}"/>
    <cellStyle name="Neutral 3" xfId="1772" xr:uid="{00000000-0005-0000-0000-0000DA060000}"/>
    <cellStyle name="Neutral 3 2" xfId="1773" xr:uid="{00000000-0005-0000-0000-0000DB060000}"/>
    <cellStyle name="Neutral 4" xfId="1774" xr:uid="{00000000-0005-0000-0000-0000DC060000}"/>
    <cellStyle name="Neutral 4 2" xfId="1775" xr:uid="{00000000-0005-0000-0000-0000DD060000}"/>
    <cellStyle name="Neutral 5" xfId="1776" xr:uid="{00000000-0005-0000-0000-0000DE060000}"/>
    <cellStyle name="Neutral 5 2" xfId="1777" xr:uid="{00000000-0005-0000-0000-0000DF060000}"/>
    <cellStyle name="Neutral 6" xfId="1778" xr:uid="{00000000-0005-0000-0000-0000E0060000}"/>
    <cellStyle name="Neutral 6 2" xfId="1779" xr:uid="{00000000-0005-0000-0000-0000E1060000}"/>
    <cellStyle name="Neutral 7" xfId="1780" xr:uid="{00000000-0005-0000-0000-0000E2060000}"/>
    <cellStyle name="Neutral 7 2" xfId="1781" xr:uid="{00000000-0005-0000-0000-0000E3060000}"/>
    <cellStyle name="Neutral 8" xfId="1782" xr:uid="{00000000-0005-0000-0000-0000E4060000}"/>
    <cellStyle name="Neutral 8 2" xfId="1783" xr:uid="{00000000-0005-0000-0000-0000E5060000}"/>
    <cellStyle name="Neutral 9" xfId="1784" xr:uid="{00000000-0005-0000-0000-0000E6060000}"/>
    <cellStyle name="Neutral 9 2" xfId="1785" xr:uid="{00000000-0005-0000-0000-0000E7060000}"/>
    <cellStyle name="Normal" xfId="0" builtinId="0"/>
    <cellStyle name="Normal 10" xfId="16" xr:uid="{00000000-0005-0000-0000-0000E9060000}"/>
    <cellStyle name="Normal 10 2" xfId="1786" xr:uid="{00000000-0005-0000-0000-0000EA060000}"/>
    <cellStyle name="Normal 10 3" xfId="1787" xr:uid="{00000000-0005-0000-0000-0000EB060000}"/>
    <cellStyle name="Normal 10 4" xfId="1788" xr:uid="{00000000-0005-0000-0000-0000EC060000}"/>
    <cellStyle name="Normal 11" xfId="1789" xr:uid="{00000000-0005-0000-0000-0000ED060000}"/>
    <cellStyle name="Normal 11 2" xfId="1790" xr:uid="{00000000-0005-0000-0000-0000EE060000}"/>
    <cellStyle name="Normal 11 3" xfId="1791" xr:uid="{00000000-0005-0000-0000-0000EF060000}"/>
    <cellStyle name="Normal 11 3 2" xfId="1792" xr:uid="{00000000-0005-0000-0000-0000F0060000}"/>
    <cellStyle name="Normal 12" xfId="1793" xr:uid="{00000000-0005-0000-0000-0000F1060000}"/>
    <cellStyle name="Normal 12 2" xfId="1794" xr:uid="{00000000-0005-0000-0000-0000F2060000}"/>
    <cellStyle name="Normal 120" xfId="2262" xr:uid="{00000000-0005-0000-0000-0000F3060000}"/>
    <cellStyle name="Normal 13" xfId="1795" xr:uid="{00000000-0005-0000-0000-0000F4060000}"/>
    <cellStyle name="Normal 13 2" xfId="1796" xr:uid="{00000000-0005-0000-0000-0000F5060000}"/>
    <cellStyle name="Normal 14" xfId="1797" xr:uid="{00000000-0005-0000-0000-0000F6060000}"/>
    <cellStyle name="Normal 14 2" xfId="1798" xr:uid="{00000000-0005-0000-0000-0000F7060000}"/>
    <cellStyle name="Normal 15" xfId="1799" xr:uid="{00000000-0005-0000-0000-0000F8060000}"/>
    <cellStyle name="Normal 15 10" xfId="1800" xr:uid="{00000000-0005-0000-0000-0000F9060000}"/>
    <cellStyle name="Normal 15 2" xfId="1801" xr:uid="{00000000-0005-0000-0000-0000FA060000}"/>
    <cellStyle name="Normal 16" xfId="1802" xr:uid="{00000000-0005-0000-0000-0000FB060000}"/>
    <cellStyle name="Normal 16 2" xfId="1803" xr:uid="{00000000-0005-0000-0000-0000FC060000}"/>
    <cellStyle name="Normal 17" xfId="1804" xr:uid="{00000000-0005-0000-0000-0000FD060000}"/>
    <cellStyle name="Normal 17 2" xfId="1805" xr:uid="{00000000-0005-0000-0000-0000FE060000}"/>
    <cellStyle name="Normal 18" xfId="1806" xr:uid="{00000000-0005-0000-0000-0000FF060000}"/>
    <cellStyle name="Normal 18 2" xfId="1807" xr:uid="{00000000-0005-0000-0000-000000070000}"/>
    <cellStyle name="Normal 19" xfId="1808" xr:uid="{00000000-0005-0000-0000-000001070000}"/>
    <cellStyle name="Normal 19 2" xfId="1809" xr:uid="{00000000-0005-0000-0000-000002070000}"/>
    <cellStyle name="Normal 2" xfId="8" xr:uid="{00000000-0005-0000-0000-000003070000}"/>
    <cellStyle name="Normal 2 10" xfId="1810" xr:uid="{00000000-0005-0000-0000-000004070000}"/>
    <cellStyle name="Normal 2 2" xfId="9" xr:uid="{00000000-0005-0000-0000-000005070000}"/>
    <cellStyle name="Normal 2 2 2" xfId="1811" xr:uid="{00000000-0005-0000-0000-000006070000}"/>
    <cellStyle name="Normal 2 2 2 2" xfId="1812" xr:uid="{00000000-0005-0000-0000-000007070000}"/>
    <cellStyle name="Normal 2 2 2 3" xfId="1813" xr:uid="{00000000-0005-0000-0000-000008070000}"/>
    <cellStyle name="Normal 2 2 3" xfId="1814" xr:uid="{00000000-0005-0000-0000-000009070000}"/>
    <cellStyle name="Normal 2 2 4" xfId="1815" xr:uid="{00000000-0005-0000-0000-00000A070000}"/>
    <cellStyle name="Normal 2 2 4 2" xfId="1816" xr:uid="{00000000-0005-0000-0000-00000B070000}"/>
    <cellStyle name="Normal 2 2_1abstract aiims patna14.07.09" xfId="1817" xr:uid="{00000000-0005-0000-0000-00000C070000}"/>
    <cellStyle name="Normal 2 3" xfId="1818" xr:uid="{00000000-0005-0000-0000-00000D070000}"/>
    <cellStyle name="Normal 2 3 2" xfId="1819" xr:uid="{00000000-0005-0000-0000-00000E070000}"/>
    <cellStyle name="Normal 2 3 3" xfId="1820" xr:uid="{00000000-0005-0000-0000-00000F070000}"/>
    <cellStyle name="Normal 2 3 4" xfId="1821" xr:uid="{00000000-0005-0000-0000-000010070000}"/>
    <cellStyle name="Normal 2 3 5" xfId="1822" xr:uid="{00000000-0005-0000-0000-000011070000}"/>
    <cellStyle name="Normal 2 4" xfId="1823" xr:uid="{00000000-0005-0000-0000-000012070000}"/>
    <cellStyle name="Normal 2 4 2" xfId="1824" xr:uid="{00000000-0005-0000-0000-000013070000}"/>
    <cellStyle name="Normal 2 4 3" xfId="1825" xr:uid="{00000000-0005-0000-0000-000014070000}"/>
    <cellStyle name="Normal 2 4 4" xfId="1826" xr:uid="{00000000-0005-0000-0000-000015070000}"/>
    <cellStyle name="Normal 2 4 5" xfId="1827" xr:uid="{00000000-0005-0000-0000-000016070000}"/>
    <cellStyle name="Normal 2 5" xfId="1828" xr:uid="{00000000-0005-0000-0000-000017070000}"/>
    <cellStyle name="Normal 2 5 2" xfId="1829" xr:uid="{00000000-0005-0000-0000-000018070000}"/>
    <cellStyle name="Normal 2_2-Internal PHE &amp; FF Works-DE-CISF-MAHIPALPUR-11.01.2013-R1" xfId="1830" xr:uid="{00000000-0005-0000-0000-000019070000}"/>
    <cellStyle name="Normal 20" xfId="1831" xr:uid="{00000000-0005-0000-0000-00001A070000}"/>
    <cellStyle name="Normal 20 2" xfId="1832" xr:uid="{00000000-0005-0000-0000-00001B070000}"/>
    <cellStyle name="Normal 21" xfId="1833" xr:uid="{00000000-0005-0000-0000-00001C070000}"/>
    <cellStyle name="Normal 21 2" xfId="1834" xr:uid="{00000000-0005-0000-0000-00001D070000}"/>
    <cellStyle name="Normal 22" xfId="1835" xr:uid="{00000000-0005-0000-0000-00001E070000}"/>
    <cellStyle name="Normal 22 2" xfId="1836" xr:uid="{00000000-0005-0000-0000-00001F070000}"/>
    <cellStyle name="Normal 23" xfId="1837" xr:uid="{00000000-0005-0000-0000-000020070000}"/>
    <cellStyle name="Normal 23 2" xfId="1838" xr:uid="{00000000-0005-0000-0000-000021070000}"/>
    <cellStyle name="Normal 23 3" xfId="1839" xr:uid="{00000000-0005-0000-0000-000022070000}"/>
    <cellStyle name="Normal 24" xfId="1840" xr:uid="{00000000-0005-0000-0000-000023070000}"/>
    <cellStyle name="Normal 24 2" xfId="1841" xr:uid="{00000000-0005-0000-0000-000024070000}"/>
    <cellStyle name="Normal 25" xfId="1842" xr:uid="{00000000-0005-0000-0000-000025070000}"/>
    <cellStyle name="Normal 26" xfId="17" xr:uid="{00000000-0005-0000-0000-000026070000}"/>
    <cellStyle name="Normal 26 2" xfId="1843" xr:uid="{00000000-0005-0000-0000-000027070000}"/>
    <cellStyle name="Normal 27" xfId="1844" xr:uid="{00000000-0005-0000-0000-000028070000}"/>
    <cellStyle name="Normal 28" xfId="18" xr:uid="{00000000-0005-0000-0000-000029070000}"/>
    <cellStyle name="Normal 28 2" xfId="1845" xr:uid="{00000000-0005-0000-0000-00002A070000}"/>
    <cellStyle name="Normal 29" xfId="19" xr:uid="{00000000-0005-0000-0000-00002B070000}"/>
    <cellStyle name="Normal 29 2" xfId="1846" xr:uid="{00000000-0005-0000-0000-00002C070000}"/>
    <cellStyle name="Normal 3" xfId="10" xr:uid="{00000000-0005-0000-0000-00002D070000}"/>
    <cellStyle name="Normal 3 10" xfId="1847" xr:uid="{00000000-0005-0000-0000-00002E070000}"/>
    <cellStyle name="Normal 3 11" xfId="1848" xr:uid="{00000000-0005-0000-0000-00002F070000}"/>
    <cellStyle name="Normal 3 12" xfId="1849" xr:uid="{00000000-0005-0000-0000-000030070000}"/>
    <cellStyle name="Normal 3 13" xfId="1850" xr:uid="{00000000-0005-0000-0000-000031070000}"/>
    <cellStyle name="Normal 3 14" xfId="1851" xr:uid="{00000000-0005-0000-0000-000032070000}"/>
    <cellStyle name="Normal 3 15" xfId="1852" xr:uid="{00000000-0005-0000-0000-000033070000}"/>
    <cellStyle name="Normal 3 16" xfId="1853" xr:uid="{00000000-0005-0000-0000-000034070000}"/>
    <cellStyle name="Normal 3 17" xfId="1854" xr:uid="{00000000-0005-0000-0000-000035070000}"/>
    <cellStyle name="Normal 3 18" xfId="1855" xr:uid="{00000000-0005-0000-0000-000036070000}"/>
    <cellStyle name="Normal 3 19" xfId="1856" xr:uid="{00000000-0005-0000-0000-000037070000}"/>
    <cellStyle name="Normal 3 2" xfId="1857" xr:uid="{00000000-0005-0000-0000-000038070000}"/>
    <cellStyle name="Normal 3 2 2" xfId="1858" xr:uid="{00000000-0005-0000-0000-000039070000}"/>
    <cellStyle name="Normal 3 20" xfId="1859" xr:uid="{00000000-0005-0000-0000-00003A070000}"/>
    <cellStyle name="Normal 3 21" xfId="1860" xr:uid="{00000000-0005-0000-0000-00003B070000}"/>
    <cellStyle name="Normal 3 22" xfId="1861" xr:uid="{00000000-0005-0000-0000-00003C070000}"/>
    <cellStyle name="Normal 3 23" xfId="1862" xr:uid="{00000000-0005-0000-0000-00003D070000}"/>
    <cellStyle name="Normal 3 24" xfId="1863" xr:uid="{00000000-0005-0000-0000-00003E070000}"/>
    <cellStyle name="Normal 3 3" xfId="1864" xr:uid="{00000000-0005-0000-0000-00003F070000}"/>
    <cellStyle name="Normal 3 3 2" xfId="1865" xr:uid="{00000000-0005-0000-0000-000040070000}"/>
    <cellStyle name="Normal 3 4" xfId="1866" xr:uid="{00000000-0005-0000-0000-000041070000}"/>
    <cellStyle name="Normal 3 4 2 2" xfId="2261" xr:uid="{00000000-0005-0000-0000-000042070000}"/>
    <cellStyle name="Normal 3 5" xfId="1867" xr:uid="{00000000-0005-0000-0000-000043070000}"/>
    <cellStyle name="Normal 3 6" xfId="1868" xr:uid="{00000000-0005-0000-0000-000044070000}"/>
    <cellStyle name="Normal 3 7" xfId="1869" xr:uid="{00000000-0005-0000-0000-000045070000}"/>
    <cellStyle name="Normal 3 8" xfId="1870" xr:uid="{00000000-0005-0000-0000-000046070000}"/>
    <cellStyle name="Normal 3 9" xfId="1871" xr:uid="{00000000-0005-0000-0000-000047070000}"/>
    <cellStyle name="Normal 30" xfId="20" xr:uid="{00000000-0005-0000-0000-000048070000}"/>
    <cellStyle name="Normal 30 2" xfId="1872" xr:uid="{00000000-0005-0000-0000-000049070000}"/>
    <cellStyle name="Normal 31" xfId="21" xr:uid="{00000000-0005-0000-0000-00004A070000}"/>
    <cellStyle name="Normal 31 2" xfId="22" xr:uid="{00000000-0005-0000-0000-00004B070000}"/>
    <cellStyle name="Normal 32" xfId="23" xr:uid="{00000000-0005-0000-0000-00004C070000}"/>
    <cellStyle name="Normal 33" xfId="1873" xr:uid="{00000000-0005-0000-0000-00004D070000}"/>
    <cellStyle name="Normal 34" xfId="1874" xr:uid="{00000000-0005-0000-0000-00004E070000}"/>
    <cellStyle name="Normal 35" xfId="1875" xr:uid="{00000000-0005-0000-0000-00004F070000}"/>
    <cellStyle name="Normal 36" xfId="1876" xr:uid="{00000000-0005-0000-0000-000050070000}"/>
    <cellStyle name="Normal 37" xfId="1877" xr:uid="{00000000-0005-0000-0000-000051070000}"/>
    <cellStyle name="Normal 4" xfId="24" xr:uid="{00000000-0005-0000-0000-000052070000}"/>
    <cellStyle name="Normal 4 10" xfId="1878" xr:uid="{00000000-0005-0000-0000-000053070000}"/>
    <cellStyle name="Normal 4 10 2" xfId="1879" xr:uid="{00000000-0005-0000-0000-000054070000}"/>
    <cellStyle name="Normal 4 11" xfId="1880" xr:uid="{00000000-0005-0000-0000-000055070000}"/>
    <cellStyle name="Normal 4 11 2" xfId="1881" xr:uid="{00000000-0005-0000-0000-000056070000}"/>
    <cellStyle name="Normal 4 12" xfId="1882" xr:uid="{00000000-0005-0000-0000-000057070000}"/>
    <cellStyle name="Normal 4 12 2" xfId="1883" xr:uid="{00000000-0005-0000-0000-000058070000}"/>
    <cellStyle name="Normal 4 13" xfId="1884" xr:uid="{00000000-0005-0000-0000-000059070000}"/>
    <cellStyle name="Normal 4 13 2" xfId="1885" xr:uid="{00000000-0005-0000-0000-00005A070000}"/>
    <cellStyle name="Normal 4 14" xfId="1886" xr:uid="{00000000-0005-0000-0000-00005B070000}"/>
    <cellStyle name="Normal 4 14 2" xfId="1887" xr:uid="{00000000-0005-0000-0000-00005C070000}"/>
    <cellStyle name="Normal 4 15" xfId="1888" xr:uid="{00000000-0005-0000-0000-00005D070000}"/>
    <cellStyle name="Normal 4 15 2" xfId="1889" xr:uid="{00000000-0005-0000-0000-00005E070000}"/>
    <cellStyle name="Normal 4 16" xfId="1890" xr:uid="{00000000-0005-0000-0000-00005F070000}"/>
    <cellStyle name="Normal 4 16 2" xfId="1891" xr:uid="{00000000-0005-0000-0000-000060070000}"/>
    <cellStyle name="Normal 4 17" xfId="1892" xr:uid="{00000000-0005-0000-0000-000061070000}"/>
    <cellStyle name="Normal 4 17 2" xfId="1893" xr:uid="{00000000-0005-0000-0000-000062070000}"/>
    <cellStyle name="Normal 4 18" xfId="1894" xr:uid="{00000000-0005-0000-0000-000063070000}"/>
    <cellStyle name="Normal 4 18 2" xfId="1895" xr:uid="{00000000-0005-0000-0000-000064070000}"/>
    <cellStyle name="Normal 4 19" xfId="1896" xr:uid="{00000000-0005-0000-0000-000065070000}"/>
    <cellStyle name="Normal 4 19 2" xfId="1897" xr:uid="{00000000-0005-0000-0000-000066070000}"/>
    <cellStyle name="Normal 4 2" xfId="1898" xr:uid="{00000000-0005-0000-0000-000067070000}"/>
    <cellStyle name="Normal 4 2 2" xfId="1899" xr:uid="{00000000-0005-0000-0000-000068070000}"/>
    <cellStyle name="Normal 4 2 3" xfId="1900" xr:uid="{00000000-0005-0000-0000-000069070000}"/>
    <cellStyle name="Normal 4 20" xfId="1901" xr:uid="{00000000-0005-0000-0000-00006A070000}"/>
    <cellStyle name="Normal 4 20 2" xfId="1902" xr:uid="{00000000-0005-0000-0000-00006B070000}"/>
    <cellStyle name="Normal 4 21" xfId="1903" xr:uid="{00000000-0005-0000-0000-00006C070000}"/>
    <cellStyle name="Normal 4 21 2" xfId="1904" xr:uid="{00000000-0005-0000-0000-00006D070000}"/>
    <cellStyle name="Normal 4 22" xfId="1905" xr:uid="{00000000-0005-0000-0000-00006E070000}"/>
    <cellStyle name="Normal 4 22 2" xfId="1906" xr:uid="{00000000-0005-0000-0000-00006F070000}"/>
    <cellStyle name="Normal 4 23" xfId="1907" xr:uid="{00000000-0005-0000-0000-000070070000}"/>
    <cellStyle name="Normal 4 23 2" xfId="1908" xr:uid="{00000000-0005-0000-0000-000071070000}"/>
    <cellStyle name="Normal 4 24" xfId="1909" xr:uid="{00000000-0005-0000-0000-000072070000}"/>
    <cellStyle name="Normal 4 24 2" xfId="1910" xr:uid="{00000000-0005-0000-0000-000073070000}"/>
    <cellStyle name="Normal 4 25" xfId="1911" xr:uid="{00000000-0005-0000-0000-000074070000}"/>
    <cellStyle name="Normal 4 26" xfId="1912" xr:uid="{00000000-0005-0000-0000-000075070000}"/>
    <cellStyle name="Normal 4 27" xfId="1913" xr:uid="{00000000-0005-0000-0000-000076070000}"/>
    <cellStyle name="Normal 4 3" xfId="1914" xr:uid="{00000000-0005-0000-0000-000077070000}"/>
    <cellStyle name="Normal 4 3 2" xfId="1915" xr:uid="{00000000-0005-0000-0000-000078070000}"/>
    <cellStyle name="Normal 4 4" xfId="1916" xr:uid="{00000000-0005-0000-0000-000079070000}"/>
    <cellStyle name="Normal 4 4 2" xfId="1917" xr:uid="{00000000-0005-0000-0000-00007A070000}"/>
    <cellStyle name="Normal 4 5" xfId="1918" xr:uid="{00000000-0005-0000-0000-00007B070000}"/>
    <cellStyle name="Normal 4 5 2" xfId="1919" xr:uid="{00000000-0005-0000-0000-00007C070000}"/>
    <cellStyle name="Normal 4 6" xfId="1920" xr:uid="{00000000-0005-0000-0000-00007D070000}"/>
    <cellStyle name="Normal 4 6 2" xfId="1921" xr:uid="{00000000-0005-0000-0000-00007E070000}"/>
    <cellStyle name="Normal 4 7" xfId="1922" xr:uid="{00000000-0005-0000-0000-00007F070000}"/>
    <cellStyle name="Normal 4 7 2" xfId="1923" xr:uid="{00000000-0005-0000-0000-000080070000}"/>
    <cellStyle name="Normal 4 8" xfId="1924" xr:uid="{00000000-0005-0000-0000-000081070000}"/>
    <cellStyle name="Normal 4 8 2" xfId="1925" xr:uid="{00000000-0005-0000-0000-000082070000}"/>
    <cellStyle name="Normal 4 9" xfId="1926" xr:uid="{00000000-0005-0000-0000-000083070000}"/>
    <cellStyle name="Normal 4 9 2" xfId="1927" xr:uid="{00000000-0005-0000-0000-000084070000}"/>
    <cellStyle name="Normal 4_BOQ-matrix-str" xfId="1928" xr:uid="{00000000-0005-0000-0000-000085070000}"/>
    <cellStyle name="Normal 44" xfId="1929" xr:uid="{00000000-0005-0000-0000-000086070000}"/>
    <cellStyle name="Normal 5" xfId="11" xr:uid="{00000000-0005-0000-0000-000087070000}"/>
    <cellStyle name="Normal 5 2" xfId="1930" xr:uid="{00000000-0005-0000-0000-000088070000}"/>
    <cellStyle name="Normal 5 3" xfId="1931" xr:uid="{00000000-0005-0000-0000-000089070000}"/>
    <cellStyle name="Normal 5 4" xfId="1932" xr:uid="{00000000-0005-0000-0000-00008A070000}"/>
    <cellStyle name="Normal 6" xfId="82" xr:uid="{00000000-0005-0000-0000-00008B070000}"/>
    <cellStyle name="Normal 6 2" xfId="1933" xr:uid="{00000000-0005-0000-0000-00008C070000}"/>
    <cellStyle name="Normal 6 3" xfId="1934" xr:uid="{00000000-0005-0000-0000-00008D070000}"/>
    <cellStyle name="Normal 7" xfId="1935" xr:uid="{00000000-0005-0000-0000-00008E070000}"/>
    <cellStyle name="Normal 7 2" xfId="83" xr:uid="{00000000-0005-0000-0000-00008F070000}"/>
    <cellStyle name="Normal 7 2 10" xfId="2263" xr:uid="{3F7C2518-E8D6-48E3-B715-4BF4CD19E9DF}"/>
    <cellStyle name="Normal 8" xfId="1936" xr:uid="{00000000-0005-0000-0000-000090070000}"/>
    <cellStyle name="Normal 8 2" xfId="1937" xr:uid="{00000000-0005-0000-0000-000091070000}"/>
    <cellStyle name="Normal 9" xfId="1938" xr:uid="{00000000-0005-0000-0000-000092070000}"/>
    <cellStyle name="Normal 9 2" xfId="1939" xr:uid="{00000000-0005-0000-0000-000093070000}"/>
    <cellStyle name="Note 10" xfId="1940" xr:uid="{00000000-0005-0000-0000-000094070000}"/>
    <cellStyle name="Note 10 2" xfId="1941" xr:uid="{00000000-0005-0000-0000-000095070000}"/>
    <cellStyle name="Note 10_STR_BOQ_Dental College" xfId="1942" xr:uid="{00000000-0005-0000-0000-000096070000}"/>
    <cellStyle name="Note 11" xfId="1943" xr:uid="{00000000-0005-0000-0000-000097070000}"/>
    <cellStyle name="Note 11 2" xfId="1944" xr:uid="{00000000-0005-0000-0000-000098070000}"/>
    <cellStyle name="Note 11_STR_BOQ_Dental College" xfId="1945" xr:uid="{00000000-0005-0000-0000-000099070000}"/>
    <cellStyle name="Note 12" xfId="1946" xr:uid="{00000000-0005-0000-0000-00009A070000}"/>
    <cellStyle name="Note 12 2" xfId="1947" xr:uid="{00000000-0005-0000-0000-00009B070000}"/>
    <cellStyle name="Note 12_STR_BOQ_Dental College" xfId="1948" xr:uid="{00000000-0005-0000-0000-00009C070000}"/>
    <cellStyle name="Note 13" xfId="1949" xr:uid="{00000000-0005-0000-0000-00009D070000}"/>
    <cellStyle name="Note 13 2" xfId="1950" xr:uid="{00000000-0005-0000-0000-00009E070000}"/>
    <cellStyle name="Note 13_STR_BOQ_Dental College" xfId="1951" xr:uid="{00000000-0005-0000-0000-00009F070000}"/>
    <cellStyle name="Note 14" xfId="1952" xr:uid="{00000000-0005-0000-0000-0000A0070000}"/>
    <cellStyle name="Note 14 2" xfId="1953" xr:uid="{00000000-0005-0000-0000-0000A1070000}"/>
    <cellStyle name="Note 14_STR_BOQ_Dental College" xfId="1954" xr:uid="{00000000-0005-0000-0000-0000A2070000}"/>
    <cellStyle name="Note 15" xfId="1955" xr:uid="{00000000-0005-0000-0000-0000A3070000}"/>
    <cellStyle name="Note 15 2" xfId="1956" xr:uid="{00000000-0005-0000-0000-0000A4070000}"/>
    <cellStyle name="Note 15_STR_BOQ_Dental College" xfId="1957" xr:uid="{00000000-0005-0000-0000-0000A5070000}"/>
    <cellStyle name="Note 16" xfId="1958" xr:uid="{00000000-0005-0000-0000-0000A6070000}"/>
    <cellStyle name="Note 16 2" xfId="1959" xr:uid="{00000000-0005-0000-0000-0000A7070000}"/>
    <cellStyle name="Note 16_STR_BOQ_Dental College" xfId="1960" xr:uid="{00000000-0005-0000-0000-0000A8070000}"/>
    <cellStyle name="Note 17" xfId="1961" xr:uid="{00000000-0005-0000-0000-0000A9070000}"/>
    <cellStyle name="Note 17 2" xfId="1962" xr:uid="{00000000-0005-0000-0000-0000AA070000}"/>
    <cellStyle name="Note 17_STR_BOQ_Dental College" xfId="1963" xr:uid="{00000000-0005-0000-0000-0000AB070000}"/>
    <cellStyle name="Note 18" xfId="1964" xr:uid="{00000000-0005-0000-0000-0000AC070000}"/>
    <cellStyle name="Note 18 2" xfId="1965" xr:uid="{00000000-0005-0000-0000-0000AD070000}"/>
    <cellStyle name="Note 18_STR_BOQ_Dental College" xfId="1966" xr:uid="{00000000-0005-0000-0000-0000AE070000}"/>
    <cellStyle name="Note 19" xfId="1967" xr:uid="{00000000-0005-0000-0000-0000AF070000}"/>
    <cellStyle name="Note 2" xfId="1968" xr:uid="{00000000-0005-0000-0000-0000B0070000}"/>
    <cellStyle name="Note 2 2" xfId="1969" xr:uid="{00000000-0005-0000-0000-0000B1070000}"/>
    <cellStyle name="Note 2_e6-LAN-Patna13.06.09" xfId="1970" xr:uid="{00000000-0005-0000-0000-0000B2070000}"/>
    <cellStyle name="Note 20" xfId="1971" xr:uid="{00000000-0005-0000-0000-0000B3070000}"/>
    <cellStyle name="Note 21" xfId="1972" xr:uid="{00000000-0005-0000-0000-0000B4070000}"/>
    <cellStyle name="Note 22" xfId="1973" xr:uid="{00000000-0005-0000-0000-0000B5070000}"/>
    <cellStyle name="Note 23" xfId="1974" xr:uid="{00000000-0005-0000-0000-0000B6070000}"/>
    <cellStyle name="Note 24" xfId="1975" xr:uid="{00000000-0005-0000-0000-0000B7070000}"/>
    <cellStyle name="Note 25" xfId="1976" xr:uid="{00000000-0005-0000-0000-0000B8070000}"/>
    <cellStyle name="Note 3" xfId="1977" xr:uid="{00000000-0005-0000-0000-0000B9070000}"/>
    <cellStyle name="Note 3 2" xfId="1978" xr:uid="{00000000-0005-0000-0000-0000BA070000}"/>
    <cellStyle name="Note 3_STR_BOQ_Dental College" xfId="1979" xr:uid="{00000000-0005-0000-0000-0000BB070000}"/>
    <cellStyle name="Note 4" xfId="1980" xr:uid="{00000000-0005-0000-0000-0000BC070000}"/>
    <cellStyle name="Note 4 2" xfId="1981" xr:uid="{00000000-0005-0000-0000-0000BD070000}"/>
    <cellStyle name="Note 4_STR_BOQ_Dental College" xfId="1982" xr:uid="{00000000-0005-0000-0000-0000BE070000}"/>
    <cellStyle name="Note 5" xfId="1983" xr:uid="{00000000-0005-0000-0000-0000BF070000}"/>
    <cellStyle name="Note 5 2" xfId="1984" xr:uid="{00000000-0005-0000-0000-0000C0070000}"/>
    <cellStyle name="Note 5_STR_BOQ_Dental College" xfId="1985" xr:uid="{00000000-0005-0000-0000-0000C1070000}"/>
    <cellStyle name="Note 6" xfId="1986" xr:uid="{00000000-0005-0000-0000-0000C2070000}"/>
    <cellStyle name="Note 6 2" xfId="1987" xr:uid="{00000000-0005-0000-0000-0000C3070000}"/>
    <cellStyle name="Note 6_STR_BOQ_Dental College" xfId="1988" xr:uid="{00000000-0005-0000-0000-0000C4070000}"/>
    <cellStyle name="Note 7" xfId="1989" xr:uid="{00000000-0005-0000-0000-0000C5070000}"/>
    <cellStyle name="Note 7 2" xfId="1990" xr:uid="{00000000-0005-0000-0000-0000C6070000}"/>
    <cellStyle name="Note 7_STR_BOQ_Dental College" xfId="1991" xr:uid="{00000000-0005-0000-0000-0000C7070000}"/>
    <cellStyle name="Note 8" xfId="1992" xr:uid="{00000000-0005-0000-0000-0000C8070000}"/>
    <cellStyle name="Note 8 2" xfId="1993" xr:uid="{00000000-0005-0000-0000-0000C9070000}"/>
    <cellStyle name="Note 8_STR_BOQ_Dental College" xfId="1994" xr:uid="{00000000-0005-0000-0000-0000CA070000}"/>
    <cellStyle name="Note 9" xfId="1995" xr:uid="{00000000-0005-0000-0000-0000CB070000}"/>
    <cellStyle name="Note 9 2" xfId="1996" xr:uid="{00000000-0005-0000-0000-0000CC070000}"/>
    <cellStyle name="Note 9_STR_BOQ_Dental College" xfId="1997" xr:uid="{00000000-0005-0000-0000-0000CD070000}"/>
    <cellStyle name="Output 10" xfId="1998" xr:uid="{00000000-0005-0000-0000-0000CE070000}"/>
    <cellStyle name="Output 10 2" xfId="1999" xr:uid="{00000000-0005-0000-0000-0000CF070000}"/>
    <cellStyle name="Output 10_STR_BOQ_Dental College" xfId="2000" xr:uid="{00000000-0005-0000-0000-0000D0070000}"/>
    <cellStyle name="Output 11" xfId="2001" xr:uid="{00000000-0005-0000-0000-0000D1070000}"/>
    <cellStyle name="Output 11 2" xfId="2002" xr:uid="{00000000-0005-0000-0000-0000D2070000}"/>
    <cellStyle name="Output 11_STR_BOQ_Dental College" xfId="2003" xr:uid="{00000000-0005-0000-0000-0000D3070000}"/>
    <cellStyle name="Output 12" xfId="2004" xr:uid="{00000000-0005-0000-0000-0000D4070000}"/>
    <cellStyle name="Output 12 2" xfId="2005" xr:uid="{00000000-0005-0000-0000-0000D5070000}"/>
    <cellStyle name="Output 12_STR_BOQ_Dental College" xfId="2006" xr:uid="{00000000-0005-0000-0000-0000D6070000}"/>
    <cellStyle name="Output 13" xfId="2007" xr:uid="{00000000-0005-0000-0000-0000D7070000}"/>
    <cellStyle name="Output 13 2" xfId="2008" xr:uid="{00000000-0005-0000-0000-0000D8070000}"/>
    <cellStyle name="Output 13_STR_BOQ_Dental College" xfId="2009" xr:uid="{00000000-0005-0000-0000-0000D9070000}"/>
    <cellStyle name="Output 14" xfId="2010" xr:uid="{00000000-0005-0000-0000-0000DA070000}"/>
    <cellStyle name="Output 14 2" xfId="2011" xr:uid="{00000000-0005-0000-0000-0000DB070000}"/>
    <cellStyle name="Output 14_STR_BOQ_Dental College" xfId="2012" xr:uid="{00000000-0005-0000-0000-0000DC070000}"/>
    <cellStyle name="Output 15" xfId="2013" xr:uid="{00000000-0005-0000-0000-0000DD070000}"/>
    <cellStyle name="Output 15 2" xfId="2014" xr:uid="{00000000-0005-0000-0000-0000DE070000}"/>
    <cellStyle name="Output 15_STR_BOQ_Dental College" xfId="2015" xr:uid="{00000000-0005-0000-0000-0000DF070000}"/>
    <cellStyle name="Output 16" xfId="2016" xr:uid="{00000000-0005-0000-0000-0000E0070000}"/>
    <cellStyle name="Output 16 2" xfId="2017" xr:uid="{00000000-0005-0000-0000-0000E1070000}"/>
    <cellStyle name="Output 16_STR_BOQ_Dental College" xfId="2018" xr:uid="{00000000-0005-0000-0000-0000E2070000}"/>
    <cellStyle name="Output 17" xfId="2019" xr:uid="{00000000-0005-0000-0000-0000E3070000}"/>
    <cellStyle name="Output 17 2" xfId="2020" xr:uid="{00000000-0005-0000-0000-0000E4070000}"/>
    <cellStyle name="Output 17_STR_BOQ_Dental College" xfId="2021" xr:uid="{00000000-0005-0000-0000-0000E5070000}"/>
    <cellStyle name="Output 18" xfId="2022" xr:uid="{00000000-0005-0000-0000-0000E6070000}"/>
    <cellStyle name="Output 18 2" xfId="2023" xr:uid="{00000000-0005-0000-0000-0000E7070000}"/>
    <cellStyle name="Output 18_STR_BOQ_Dental College" xfId="2024" xr:uid="{00000000-0005-0000-0000-0000E8070000}"/>
    <cellStyle name="Output 19" xfId="2025" xr:uid="{00000000-0005-0000-0000-0000E9070000}"/>
    <cellStyle name="Output 2" xfId="2026" xr:uid="{00000000-0005-0000-0000-0000EA070000}"/>
    <cellStyle name="Output 2 2" xfId="2027" xr:uid="{00000000-0005-0000-0000-0000EB070000}"/>
    <cellStyle name="Output 2_STR_BOQ_Dental College" xfId="2028" xr:uid="{00000000-0005-0000-0000-0000EC070000}"/>
    <cellStyle name="Output 20" xfId="2029" xr:uid="{00000000-0005-0000-0000-0000ED070000}"/>
    <cellStyle name="Output 21" xfId="2030" xr:uid="{00000000-0005-0000-0000-0000EE070000}"/>
    <cellStyle name="Output 22" xfId="2031" xr:uid="{00000000-0005-0000-0000-0000EF070000}"/>
    <cellStyle name="Output 23" xfId="2032" xr:uid="{00000000-0005-0000-0000-0000F0070000}"/>
    <cellStyle name="Output 24" xfId="2033" xr:uid="{00000000-0005-0000-0000-0000F1070000}"/>
    <cellStyle name="Output 25" xfId="2034" xr:uid="{00000000-0005-0000-0000-0000F2070000}"/>
    <cellStyle name="Output 3" xfId="2035" xr:uid="{00000000-0005-0000-0000-0000F3070000}"/>
    <cellStyle name="Output 3 2" xfId="2036" xr:uid="{00000000-0005-0000-0000-0000F4070000}"/>
    <cellStyle name="Output 3_STR_BOQ_Dental College" xfId="2037" xr:uid="{00000000-0005-0000-0000-0000F5070000}"/>
    <cellStyle name="Output 4" xfId="2038" xr:uid="{00000000-0005-0000-0000-0000F6070000}"/>
    <cellStyle name="Output 4 2" xfId="2039" xr:uid="{00000000-0005-0000-0000-0000F7070000}"/>
    <cellStyle name="Output 4_STR_BOQ_Dental College" xfId="2040" xr:uid="{00000000-0005-0000-0000-0000F8070000}"/>
    <cellStyle name="Output 5" xfId="2041" xr:uid="{00000000-0005-0000-0000-0000F9070000}"/>
    <cellStyle name="Output 5 2" xfId="2042" xr:uid="{00000000-0005-0000-0000-0000FA070000}"/>
    <cellStyle name="Output 5_STR_BOQ_Dental College" xfId="2043" xr:uid="{00000000-0005-0000-0000-0000FB070000}"/>
    <cellStyle name="Output 6" xfId="2044" xr:uid="{00000000-0005-0000-0000-0000FC070000}"/>
    <cellStyle name="Output 6 2" xfId="2045" xr:uid="{00000000-0005-0000-0000-0000FD070000}"/>
    <cellStyle name="Output 6_STR_BOQ_Dental College" xfId="2046" xr:uid="{00000000-0005-0000-0000-0000FE070000}"/>
    <cellStyle name="Output 7" xfId="2047" xr:uid="{00000000-0005-0000-0000-0000FF070000}"/>
    <cellStyle name="Output 7 2" xfId="2048" xr:uid="{00000000-0005-0000-0000-000000080000}"/>
    <cellStyle name="Output 7_STR_BOQ_Dental College" xfId="2049" xr:uid="{00000000-0005-0000-0000-000001080000}"/>
    <cellStyle name="Output 8" xfId="2050" xr:uid="{00000000-0005-0000-0000-000002080000}"/>
    <cellStyle name="Output 8 2" xfId="2051" xr:uid="{00000000-0005-0000-0000-000003080000}"/>
    <cellStyle name="Output 8_STR_BOQ_Dental College" xfId="2052" xr:uid="{00000000-0005-0000-0000-000004080000}"/>
    <cellStyle name="Output 9" xfId="2053" xr:uid="{00000000-0005-0000-0000-000005080000}"/>
    <cellStyle name="Output 9 2" xfId="2054" xr:uid="{00000000-0005-0000-0000-000006080000}"/>
    <cellStyle name="Output 9_STR_BOQ_Dental College" xfId="2055" xr:uid="{00000000-0005-0000-0000-000007080000}"/>
    <cellStyle name="Percent 10" xfId="2056" xr:uid="{00000000-0005-0000-0000-000008080000}"/>
    <cellStyle name="Percent 10 2" xfId="2057" xr:uid="{00000000-0005-0000-0000-000009080000}"/>
    <cellStyle name="Percent 11" xfId="2058" xr:uid="{00000000-0005-0000-0000-00000A080000}"/>
    <cellStyle name="Percent 11 2" xfId="2059" xr:uid="{00000000-0005-0000-0000-00000B080000}"/>
    <cellStyle name="Percent 12" xfId="2060" xr:uid="{00000000-0005-0000-0000-00000C080000}"/>
    <cellStyle name="Percent 12 2" xfId="2061" xr:uid="{00000000-0005-0000-0000-00000D080000}"/>
    <cellStyle name="Percent 13" xfId="2062" xr:uid="{00000000-0005-0000-0000-00000E080000}"/>
    <cellStyle name="Percent 13 2" xfId="2063" xr:uid="{00000000-0005-0000-0000-00000F080000}"/>
    <cellStyle name="Percent 14" xfId="2064" xr:uid="{00000000-0005-0000-0000-000010080000}"/>
    <cellStyle name="Percent 14 2" xfId="2065" xr:uid="{00000000-0005-0000-0000-000011080000}"/>
    <cellStyle name="Percent 15" xfId="2066" xr:uid="{00000000-0005-0000-0000-000012080000}"/>
    <cellStyle name="Percent 15 2" xfId="2067" xr:uid="{00000000-0005-0000-0000-000013080000}"/>
    <cellStyle name="Percent 16" xfId="2068" xr:uid="{00000000-0005-0000-0000-000014080000}"/>
    <cellStyle name="Percent 16 2" xfId="2069" xr:uid="{00000000-0005-0000-0000-000015080000}"/>
    <cellStyle name="Percent 17" xfId="2070" xr:uid="{00000000-0005-0000-0000-000016080000}"/>
    <cellStyle name="Percent 17 2" xfId="2071" xr:uid="{00000000-0005-0000-0000-000017080000}"/>
    <cellStyle name="Percent 18" xfId="2072" xr:uid="{00000000-0005-0000-0000-000018080000}"/>
    <cellStyle name="Percent 18 2" xfId="2073" xr:uid="{00000000-0005-0000-0000-000019080000}"/>
    <cellStyle name="Percent 19" xfId="2074" xr:uid="{00000000-0005-0000-0000-00001A080000}"/>
    <cellStyle name="Percent 19 2" xfId="2075" xr:uid="{00000000-0005-0000-0000-00001B080000}"/>
    <cellStyle name="Percent 2" xfId="12" xr:uid="{00000000-0005-0000-0000-00001C080000}"/>
    <cellStyle name="Percent 2 2" xfId="2076" xr:uid="{00000000-0005-0000-0000-00001D080000}"/>
    <cellStyle name="Percent 2 2 2" xfId="2077" xr:uid="{00000000-0005-0000-0000-00001E080000}"/>
    <cellStyle name="Percent 2 3" xfId="2078" xr:uid="{00000000-0005-0000-0000-00001F080000}"/>
    <cellStyle name="Percent 20" xfId="2079" xr:uid="{00000000-0005-0000-0000-000020080000}"/>
    <cellStyle name="Percent 20 2" xfId="2080" xr:uid="{00000000-0005-0000-0000-000021080000}"/>
    <cellStyle name="Percent 21" xfId="2081" xr:uid="{00000000-0005-0000-0000-000022080000}"/>
    <cellStyle name="Percent 21 2" xfId="2082" xr:uid="{00000000-0005-0000-0000-000023080000}"/>
    <cellStyle name="Percent 22" xfId="2083" xr:uid="{00000000-0005-0000-0000-000024080000}"/>
    <cellStyle name="Percent 22 2" xfId="2084" xr:uid="{00000000-0005-0000-0000-000025080000}"/>
    <cellStyle name="Percent 23" xfId="2085" xr:uid="{00000000-0005-0000-0000-000026080000}"/>
    <cellStyle name="Percent 23 2" xfId="2086" xr:uid="{00000000-0005-0000-0000-000027080000}"/>
    <cellStyle name="Percent 24" xfId="2087" xr:uid="{00000000-0005-0000-0000-000028080000}"/>
    <cellStyle name="Percent 24 2" xfId="2088" xr:uid="{00000000-0005-0000-0000-000029080000}"/>
    <cellStyle name="Percent 25" xfId="2089" xr:uid="{00000000-0005-0000-0000-00002A080000}"/>
    <cellStyle name="Percent 25 2" xfId="2090" xr:uid="{00000000-0005-0000-0000-00002B080000}"/>
    <cellStyle name="Percent 26" xfId="2091" xr:uid="{00000000-0005-0000-0000-00002C080000}"/>
    <cellStyle name="Percent 26 2" xfId="2092" xr:uid="{00000000-0005-0000-0000-00002D080000}"/>
    <cellStyle name="Percent 27" xfId="2093" xr:uid="{00000000-0005-0000-0000-00002E080000}"/>
    <cellStyle name="Percent 27 2" xfId="2094" xr:uid="{00000000-0005-0000-0000-00002F080000}"/>
    <cellStyle name="Percent 28" xfId="2095" xr:uid="{00000000-0005-0000-0000-000030080000}"/>
    <cellStyle name="Percent 28 2" xfId="2096" xr:uid="{00000000-0005-0000-0000-000031080000}"/>
    <cellStyle name="Percent 29" xfId="2097" xr:uid="{00000000-0005-0000-0000-000032080000}"/>
    <cellStyle name="Percent 29 2" xfId="2098" xr:uid="{00000000-0005-0000-0000-000033080000}"/>
    <cellStyle name="Percent 3" xfId="2099" xr:uid="{00000000-0005-0000-0000-000034080000}"/>
    <cellStyle name="Percent 3 2" xfId="2100" xr:uid="{00000000-0005-0000-0000-000035080000}"/>
    <cellStyle name="Percent 30" xfId="2101" xr:uid="{00000000-0005-0000-0000-000036080000}"/>
    <cellStyle name="Percent 30 2" xfId="2102" xr:uid="{00000000-0005-0000-0000-000037080000}"/>
    <cellStyle name="Percent 31" xfId="2103" xr:uid="{00000000-0005-0000-0000-000038080000}"/>
    <cellStyle name="Percent 31 2" xfId="2104" xr:uid="{00000000-0005-0000-0000-000039080000}"/>
    <cellStyle name="Percent 32" xfId="2105" xr:uid="{00000000-0005-0000-0000-00003A080000}"/>
    <cellStyle name="Percent 32 2" xfId="2106" xr:uid="{00000000-0005-0000-0000-00003B080000}"/>
    <cellStyle name="Percent 33" xfId="2107" xr:uid="{00000000-0005-0000-0000-00003C080000}"/>
    <cellStyle name="Percent 33 2" xfId="2108" xr:uid="{00000000-0005-0000-0000-00003D080000}"/>
    <cellStyle name="Percent 34" xfId="2109" xr:uid="{00000000-0005-0000-0000-00003E080000}"/>
    <cellStyle name="Percent 34 2" xfId="2110" xr:uid="{00000000-0005-0000-0000-00003F080000}"/>
    <cellStyle name="Percent 35" xfId="2111" xr:uid="{00000000-0005-0000-0000-000040080000}"/>
    <cellStyle name="Percent 35 2" xfId="2112" xr:uid="{00000000-0005-0000-0000-000041080000}"/>
    <cellStyle name="Percent 36" xfId="2113" xr:uid="{00000000-0005-0000-0000-000042080000}"/>
    <cellStyle name="Percent 36 2" xfId="2114" xr:uid="{00000000-0005-0000-0000-000043080000}"/>
    <cellStyle name="Percent 4" xfId="2115" xr:uid="{00000000-0005-0000-0000-000044080000}"/>
    <cellStyle name="Percent 4 2" xfId="2116" xr:uid="{00000000-0005-0000-0000-000045080000}"/>
    <cellStyle name="Percent 5" xfId="2117" xr:uid="{00000000-0005-0000-0000-000046080000}"/>
    <cellStyle name="Percent 5 2" xfId="2118" xr:uid="{00000000-0005-0000-0000-000047080000}"/>
    <cellStyle name="Percent 6" xfId="2119" xr:uid="{00000000-0005-0000-0000-000048080000}"/>
    <cellStyle name="Percent 6 2" xfId="2120" xr:uid="{00000000-0005-0000-0000-000049080000}"/>
    <cellStyle name="Percent 7" xfId="2121" xr:uid="{00000000-0005-0000-0000-00004A080000}"/>
    <cellStyle name="Percent 7 2" xfId="2122" xr:uid="{00000000-0005-0000-0000-00004B080000}"/>
    <cellStyle name="Percent 8" xfId="2123" xr:uid="{00000000-0005-0000-0000-00004C080000}"/>
    <cellStyle name="Percent 8 2" xfId="2124" xr:uid="{00000000-0005-0000-0000-00004D080000}"/>
    <cellStyle name="Percent 9" xfId="2125" xr:uid="{00000000-0005-0000-0000-00004E080000}"/>
    <cellStyle name="Percent 9 2" xfId="2126" xr:uid="{00000000-0005-0000-0000-00004F080000}"/>
    <cellStyle name="RDB1" xfId="2127" xr:uid="{00000000-0005-0000-0000-000050080000}"/>
    <cellStyle name="Style 1" xfId="13" xr:uid="{00000000-0005-0000-0000-000051080000}"/>
    <cellStyle name="Style 1 2" xfId="2128" xr:uid="{00000000-0005-0000-0000-000052080000}"/>
    <cellStyle name="Style 1 3" xfId="2129" xr:uid="{00000000-0005-0000-0000-000053080000}"/>
    <cellStyle name="Style 1 4" xfId="2130" xr:uid="{00000000-0005-0000-0000-000054080000}"/>
    <cellStyle name="Style 1_3-Internal FF Works-DE-NATGRID AT ANDHERIA MORE-28.09.13" xfId="2131" xr:uid="{00000000-0005-0000-0000-000055080000}"/>
    <cellStyle name="Style 2" xfId="2132" xr:uid="{00000000-0005-0000-0000-000056080000}"/>
    <cellStyle name="Title 10" xfId="2133" xr:uid="{00000000-0005-0000-0000-000057080000}"/>
    <cellStyle name="Title 10 2" xfId="2134" xr:uid="{00000000-0005-0000-0000-000058080000}"/>
    <cellStyle name="Title 11" xfId="2135" xr:uid="{00000000-0005-0000-0000-000059080000}"/>
    <cellStyle name="Title 11 2" xfId="2136" xr:uid="{00000000-0005-0000-0000-00005A080000}"/>
    <cellStyle name="Title 12" xfId="2137" xr:uid="{00000000-0005-0000-0000-00005B080000}"/>
    <cellStyle name="Title 12 2" xfId="2138" xr:uid="{00000000-0005-0000-0000-00005C080000}"/>
    <cellStyle name="Title 13" xfId="2139" xr:uid="{00000000-0005-0000-0000-00005D080000}"/>
    <cellStyle name="Title 13 2" xfId="2140" xr:uid="{00000000-0005-0000-0000-00005E080000}"/>
    <cellStyle name="Title 14" xfId="2141" xr:uid="{00000000-0005-0000-0000-00005F080000}"/>
    <cellStyle name="Title 14 2" xfId="2142" xr:uid="{00000000-0005-0000-0000-000060080000}"/>
    <cellStyle name="Title 15" xfId="2143" xr:uid="{00000000-0005-0000-0000-000061080000}"/>
    <cellStyle name="Title 15 2" xfId="2144" xr:uid="{00000000-0005-0000-0000-000062080000}"/>
    <cellStyle name="Title 16" xfId="2145" xr:uid="{00000000-0005-0000-0000-000063080000}"/>
    <cellStyle name="Title 16 2" xfId="2146" xr:uid="{00000000-0005-0000-0000-000064080000}"/>
    <cellStyle name="Title 17" xfId="2147" xr:uid="{00000000-0005-0000-0000-000065080000}"/>
    <cellStyle name="Title 17 2" xfId="2148" xr:uid="{00000000-0005-0000-0000-000066080000}"/>
    <cellStyle name="Title 18" xfId="2149" xr:uid="{00000000-0005-0000-0000-000067080000}"/>
    <cellStyle name="Title 18 2" xfId="2150" xr:uid="{00000000-0005-0000-0000-000068080000}"/>
    <cellStyle name="Title 19" xfId="2151" xr:uid="{00000000-0005-0000-0000-000069080000}"/>
    <cellStyle name="Title 2" xfId="2152" xr:uid="{00000000-0005-0000-0000-00006A080000}"/>
    <cellStyle name="Title 2 2" xfId="2153" xr:uid="{00000000-0005-0000-0000-00006B080000}"/>
    <cellStyle name="Title 20" xfId="2154" xr:uid="{00000000-0005-0000-0000-00006C080000}"/>
    <cellStyle name="Title 21" xfId="2155" xr:uid="{00000000-0005-0000-0000-00006D080000}"/>
    <cellStyle name="Title 22" xfId="2156" xr:uid="{00000000-0005-0000-0000-00006E080000}"/>
    <cellStyle name="Title 23" xfId="2157" xr:uid="{00000000-0005-0000-0000-00006F080000}"/>
    <cellStyle name="Title 24" xfId="2158" xr:uid="{00000000-0005-0000-0000-000070080000}"/>
    <cellStyle name="Title 25" xfId="2159" xr:uid="{00000000-0005-0000-0000-000071080000}"/>
    <cellStyle name="Title 3" xfId="2160" xr:uid="{00000000-0005-0000-0000-000072080000}"/>
    <cellStyle name="Title 3 2" xfId="2161" xr:uid="{00000000-0005-0000-0000-000073080000}"/>
    <cellStyle name="Title 4" xfId="2162" xr:uid="{00000000-0005-0000-0000-000074080000}"/>
    <cellStyle name="Title 4 2" xfId="2163" xr:uid="{00000000-0005-0000-0000-000075080000}"/>
    <cellStyle name="Title 5" xfId="2164" xr:uid="{00000000-0005-0000-0000-000076080000}"/>
    <cellStyle name="Title 5 2" xfId="2165" xr:uid="{00000000-0005-0000-0000-000077080000}"/>
    <cellStyle name="Title 6" xfId="2166" xr:uid="{00000000-0005-0000-0000-000078080000}"/>
    <cellStyle name="Title 6 2" xfId="2167" xr:uid="{00000000-0005-0000-0000-000079080000}"/>
    <cellStyle name="Title 7" xfId="2168" xr:uid="{00000000-0005-0000-0000-00007A080000}"/>
    <cellStyle name="Title 7 2" xfId="2169" xr:uid="{00000000-0005-0000-0000-00007B080000}"/>
    <cellStyle name="Title 8" xfId="2170" xr:uid="{00000000-0005-0000-0000-00007C080000}"/>
    <cellStyle name="Title 8 2" xfId="2171" xr:uid="{00000000-0005-0000-0000-00007D080000}"/>
    <cellStyle name="Title 9" xfId="2172" xr:uid="{00000000-0005-0000-0000-00007E080000}"/>
    <cellStyle name="Title 9 2" xfId="2173" xr:uid="{00000000-0005-0000-0000-00007F080000}"/>
    <cellStyle name="Total 10" xfId="2174" xr:uid="{00000000-0005-0000-0000-000080080000}"/>
    <cellStyle name="Total 10 2" xfId="2175" xr:uid="{00000000-0005-0000-0000-000081080000}"/>
    <cellStyle name="Total 11" xfId="2176" xr:uid="{00000000-0005-0000-0000-000082080000}"/>
    <cellStyle name="Total 11 2" xfId="2177" xr:uid="{00000000-0005-0000-0000-000083080000}"/>
    <cellStyle name="Total 12" xfId="2178" xr:uid="{00000000-0005-0000-0000-000084080000}"/>
    <cellStyle name="Total 12 2" xfId="2179" xr:uid="{00000000-0005-0000-0000-000085080000}"/>
    <cellStyle name="Total 13" xfId="2180" xr:uid="{00000000-0005-0000-0000-000086080000}"/>
    <cellStyle name="Total 13 2" xfId="2181" xr:uid="{00000000-0005-0000-0000-000087080000}"/>
    <cellStyle name="Total 14" xfId="2182" xr:uid="{00000000-0005-0000-0000-000088080000}"/>
    <cellStyle name="Total 14 2" xfId="2183" xr:uid="{00000000-0005-0000-0000-000089080000}"/>
    <cellStyle name="Total 15" xfId="2184" xr:uid="{00000000-0005-0000-0000-00008A080000}"/>
    <cellStyle name="Total 15 2" xfId="2185" xr:uid="{00000000-0005-0000-0000-00008B080000}"/>
    <cellStyle name="Total 16" xfId="2186" xr:uid="{00000000-0005-0000-0000-00008C080000}"/>
    <cellStyle name="Total 16 2" xfId="2187" xr:uid="{00000000-0005-0000-0000-00008D080000}"/>
    <cellStyle name="Total 17" xfId="2188" xr:uid="{00000000-0005-0000-0000-00008E080000}"/>
    <cellStyle name="Total 17 2" xfId="2189" xr:uid="{00000000-0005-0000-0000-00008F080000}"/>
    <cellStyle name="Total 18" xfId="2190" xr:uid="{00000000-0005-0000-0000-000090080000}"/>
    <cellStyle name="Total 18 2" xfId="2191" xr:uid="{00000000-0005-0000-0000-000091080000}"/>
    <cellStyle name="Total 19" xfId="2192" xr:uid="{00000000-0005-0000-0000-000092080000}"/>
    <cellStyle name="Total 2" xfId="2193" xr:uid="{00000000-0005-0000-0000-000093080000}"/>
    <cellStyle name="Total 2 2" xfId="2194" xr:uid="{00000000-0005-0000-0000-000094080000}"/>
    <cellStyle name="Total 20" xfId="2195" xr:uid="{00000000-0005-0000-0000-000095080000}"/>
    <cellStyle name="Total 21" xfId="2196" xr:uid="{00000000-0005-0000-0000-000096080000}"/>
    <cellStyle name="Total 22" xfId="2197" xr:uid="{00000000-0005-0000-0000-000097080000}"/>
    <cellStyle name="Total 23" xfId="2198" xr:uid="{00000000-0005-0000-0000-000098080000}"/>
    <cellStyle name="Total 24" xfId="2199" xr:uid="{00000000-0005-0000-0000-000099080000}"/>
    <cellStyle name="Total 25" xfId="2200" xr:uid="{00000000-0005-0000-0000-00009A080000}"/>
    <cellStyle name="Total 3" xfId="2201" xr:uid="{00000000-0005-0000-0000-00009B080000}"/>
    <cellStyle name="Total 3 2" xfId="2202" xr:uid="{00000000-0005-0000-0000-00009C080000}"/>
    <cellStyle name="Total 4" xfId="2203" xr:uid="{00000000-0005-0000-0000-00009D080000}"/>
    <cellStyle name="Total 4 2" xfId="2204" xr:uid="{00000000-0005-0000-0000-00009E080000}"/>
    <cellStyle name="Total 5" xfId="2205" xr:uid="{00000000-0005-0000-0000-00009F080000}"/>
    <cellStyle name="Total 5 2" xfId="2206" xr:uid="{00000000-0005-0000-0000-0000A0080000}"/>
    <cellStyle name="Total 6" xfId="2207" xr:uid="{00000000-0005-0000-0000-0000A1080000}"/>
    <cellStyle name="Total 6 2" xfId="2208" xr:uid="{00000000-0005-0000-0000-0000A2080000}"/>
    <cellStyle name="Total 7" xfId="2209" xr:uid="{00000000-0005-0000-0000-0000A3080000}"/>
    <cellStyle name="Total 7 2" xfId="2210" xr:uid="{00000000-0005-0000-0000-0000A4080000}"/>
    <cellStyle name="Total 8" xfId="2211" xr:uid="{00000000-0005-0000-0000-0000A5080000}"/>
    <cellStyle name="Total 8 2" xfId="2212" xr:uid="{00000000-0005-0000-0000-0000A6080000}"/>
    <cellStyle name="Total 9" xfId="2213" xr:uid="{00000000-0005-0000-0000-0000A7080000}"/>
    <cellStyle name="Total 9 2" xfId="2214" xr:uid="{00000000-0005-0000-0000-0000A8080000}"/>
    <cellStyle name="Warning Text 10" xfId="2215" xr:uid="{00000000-0005-0000-0000-0000A9080000}"/>
    <cellStyle name="Warning Text 10 2" xfId="2216" xr:uid="{00000000-0005-0000-0000-0000AA080000}"/>
    <cellStyle name="Warning Text 11" xfId="2217" xr:uid="{00000000-0005-0000-0000-0000AB080000}"/>
    <cellStyle name="Warning Text 11 2" xfId="2218" xr:uid="{00000000-0005-0000-0000-0000AC080000}"/>
    <cellStyle name="Warning Text 12" xfId="2219" xr:uid="{00000000-0005-0000-0000-0000AD080000}"/>
    <cellStyle name="Warning Text 12 2" xfId="2220" xr:uid="{00000000-0005-0000-0000-0000AE080000}"/>
    <cellStyle name="Warning Text 13" xfId="2221" xr:uid="{00000000-0005-0000-0000-0000AF080000}"/>
    <cellStyle name="Warning Text 13 2" xfId="2222" xr:uid="{00000000-0005-0000-0000-0000B0080000}"/>
    <cellStyle name="Warning Text 14" xfId="2223" xr:uid="{00000000-0005-0000-0000-0000B1080000}"/>
    <cellStyle name="Warning Text 14 2" xfId="2224" xr:uid="{00000000-0005-0000-0000-0000B2080000}"/>
    <cellStyle name="Warning Text 15" xfId="2225" xr:uid="{00000000-0005-0000-0000-0000B3080000}"/>
    <cellStyle name="Warning Text 15 2" xfId="2226" xr:uid="{00000000-0005-0000-0000-0000B4080000}"/>
    <cellStyle name="Warning Text 16" xfId="2227" xr:uid="{00000000-0005-0000-0000-0000B5080000}"/>
    <cellStyle name="Warning Text 16 2" xfId="2228" xr:uid="{00000000-0005-0000-0000-0000B6080000}"/>
    <cellStyle name="Warning Text 17" xfId="2229" xr:uid="{00000000-0005-0000-0000-0000B7080000}"/>
    <cellStyle name="Warning Text 17 2" xfId="2230" xr:uid="{00000000-0005-0000-0000-0000B8080000}"/>
    <cellStyle name="Warning Text 18" xfId="2231" xr:uid="{00000000-0005-0000-0000-0000B9080000}"/>
    <cellStyle name="Warning Text 18 2" xfId="2232" xr:uid="{00000000-0005-0000-0000-0000BA080000}"/>
    <cellStyle name="Warning Text 19" xfId="2233" xr:uid="{00000000-0005-0000-0000-0000BB080000}"/>
    <cellStyle name="Warning Text 2" xfId="2234" xr:uid="{00000000-0005-0000-0000-0000BC080000}"/>
    <cellStyle name="Warning Text 2 2" xfId="2235" xr:uid="{00000000-0005-0000-0000-0000BD080000}"/>
    <cellStyle name="Warning Text 20" xfId="2236" xr:uid="{00000000-0005-0000-0000-0000BE080000}"/>
    <cellStyle name="Warning Text 21" xfId="2237" xr:uid="{00000000-0005-0000-0000-0000BF080000}"/>
    <cellStyle name="Warning Text 22" xfId="2238" xr:uid="{00000000-0005-0000-0000-0000C0080000}"/>
    <cellStyle name="Warning Text 23" xfId="2239" xr:uid="{00000000-0005-0000-0000-0000C1080000}"/>
    <cellStyle name="Warning Text 24" xfId="2240" xr:uid="{00000000-0005-0000-0000-0000C2080000}"/>
    <cellStyle name="Warning Text 25" xfId="2241" xr:uid="{00000000-0005-0000-0000-0000C3080000}"/>
    <cellStyle name="Warning Text 3" xfId="2242" xr:uid="{00000000-0005-0000-0000-0000C4080000}"/>
    <cellStyle name="Warning Text 3 2" xfId="2243" xr:uid="{00000000-0005-0000-0000-0000C5080000}"/>
    <cellStyle name="Warning Text 4" xfId="2244" xr:uid="{00000000-0005-0000-0000-0000C6080000}"/>
    <cellStyle name="Warning Text 4 2" xfId="2245" xr:uid="{00000000-0005-0000-0000-0000C7080000}"/>
    <cellStyle name="Warning Text 5" xfId="2246" xr:uid="{00000000-0005-0000-0000-0000C8080000}"/>
    <cellStyle name="Warning Text 5 2" xfId="2247" xr:uid="{00000000-0005-0000-0000-0000C9080000}"/>
    <cellStyle name="Warning Text 6" xfId="2248" xr:uid="{00000000-0005-0000-0000-0000CA080000}"/>
    <cellStyle name="Warning Text 6 2" xfId="2249" xr:uid="{00000000-0005-0000-0000-0000CB080000}"/>
    <cellStyle name="Warning Text 7" xfId="2250" xr:uid="{00000000-0005-0000-0000-0000CC080000}"/>
    <cellStyle name="Warning Text 7 2" xfId="2251" xr:uid="{00000000-0005-0000-0000-0000CD080000}"/>
    <cellStyle name="Warning Text 8" xfId="2252" xr:uid="{00000000-0005-0000-0000-0000CE080000}"/>
    <cellStyle name="Warning Text 8 2" xfId="2253" xr:uid="{00000000-0005-0000-0000-0000CF080000}"/>
    <cellStyle name="Warning Text 9" xfId="2254" xr:uid="{00000000-0005-0000-0000-0000D0080000}"/>
    <cellStyle name="Warning Text 9 2" xfId="2255" xr:uid="{00000000-0005-0000-0000-0000D1080000}"/>
    <cellStyle name="콤마 [0]_Book1" xfId="2256" xr:uid="{00000000-0005-0000-0000-0000D2080000}"/>
    <cellStyle name="콤마_Book1" xfId="2257" xr:uid="{00000000-0005-0000-0000-0000D3080000}"/>
    <cellStyle name="통화 [0]_9634매출 " xfId="2258" xr:uid="{00000000-0005-0000-0000-0000D4080000}"/>
    <cellStyle name="통화_9634매출 " xfId="2259" xr:uid="{00000000-0005-0000-0000-0000D5080000}"/>
    <cellStyle name="표준_0N-HANDLING " xfId="2260" xr:uid="{00000000-0005-0000-0000-0000D608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drawings/drawing1.xml><?xml version="1.0" encoding="utf-8"?>
<xdr:wsDr xmlns:xdr="http://schemas.openxmlformats.org/drawingml/2006/spreadsheetDrawing" xmlns:a="http://schemas.openxmlformats.org/drawingml/2006/main">
  <xdr:twoCellAnchor editAs="oneCell">
    <xdr:from>
      <xdr:col>2</xdr:col>
      <xdr:colOff>200025</xdr:colOff>
      <xdr:row>163</xdr:row>
      <xdr:rowOff>0</xdr:rowOff>
    </xdr:from>
    <xdr:to>
      <xdr:col>3</xdr:col>
      <xdr:colOff>151503</xdr:colOff>
      <xdr:row>163</xdr:row>
      <xdr:rowOff>21903</xdr:rowOff>
    </xdr:to>
    <xdr:sp macro="" textlink="">
      <xdr:nvSpPr>
        <xdr:cNvPr id="11365" name="Text 19">
          <a:extLst>
            <a:ext uri="{FF2B5EF4-FFF2-40B4-BE49-F238E27FC236}">
              <a16:creationId xmlns:a16="http://schemas.microsoft.com/office/drawing/2014/main" id="{00000000-0008-0000-0100-000065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66" name="Text 19">
          <a:extLst>
            <a:ext uri="{FF2B5EF4-FFF2-40B4-BE49-F238E27FC236}">
              <a16:creationId xmlns:a16="http://schemas.microsoft.com/office/drawing/2014/main" id="{00000000-0008-0000-0100-000066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67" name="Text 19">
          <a:extLst>
            <a:ext uri="{FF2B5EF4-FFF2-40B4-BE49-F238E27FC236}">
              <a16:creationId xmlns:a16="http://schemas.microsoft.com/office/drawing/2014/main" id="{00000000-0008-0000-0100-000067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68" name="Text 19">
          <a:extLst>
            <a:ext uri="{FF2B5EF4-FFF2-40B4-BE49-F238E27FC236}">
              <a16:creationId xmlns:a16="http://schemas.microsoft.com/office/drawing/2014/main" id="{00000000-0008-0000-0100-000068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69" name="Text 19">
          <a:extLst>
            <a:ext uri="{FF2B5EF4-FFF2-40B4-BE49-F238E27FC236}">
              <a16:creationId xmlns:a16="http://schemas.microsoft.com/office/drawing/2014/main" id="{00000000-0008-0000-0100-000069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70" name="Text 19">
          <a:extLst>
            <a:ext uri="{FF2B5EF4-FFF2-40B4-BE49-F238E27FC236}">
              <a16:creationId xmlns:a16="http://schemas.microsoft.com/office/drawing/2014/main" id="{00000000-0008-0000-0100-00006A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71" name="Text 19">
          <a:extLst>
            <a:ext uri="{FF2B5EF4-FFF2-40B4-BE49-F238E27FC236}">
              <a16:creationId xmlns:a16="http://schemas.microsoft.com/office/drawing/2014/main" id="{00000000-0008-0000-0100-00006B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72" name="Text 19">
          <a:extLst>
            <a:ext uri="{FF2B5EF4-FFF2-40B4-BE49-F238E27FC236}">
              <a16:creationId xmlns:a16="http://schemas.microsoft.com/office/drawing/2014/main" id="{00000000-0008-0000-0100-00006C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73" name="Text 19">
          <a:extLst>
            <a:ext uri="{FF2B5EF4-FFF2-40B4-BE49-F238E27FC236}">
              <a16:creationId xmlns:a16="http://schemas.microsoft.com/office/drawing/2014/main" id="{00000000-0008-0000-0100-00006D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74" name="Text 19">
          <a:extLst>
            <a:ext uri="{FF2B5EF4-FFF2-40B4-BE49-F238E27FC236}">
              <a16:creationId xmlns:a16="http://schemas.microsoft.com/office/drawing/2014/main" id="{00000000-0008-0000-0100-00006E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75" name="Text 19">
          <a:extLst>
            <a:ext uri="{FF2B5EF4-FFF2-40B4-BE49-F238E27FC236}">
              <a16:creationId xmlns:a16="http://schemas.microsoft.com/office/drawing/2014/main" id="{00000000-0008-0000-0100-00006F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76" name="Text 19">
          <a:extLst>
            <a:ext uri="{FF2B5EF4-FFF2-40B4-BE49-F238E27FC236}">
              <a16:creationId xmlns:a16="http://schemas.microsoft.com/office/drawing/2014/main" id="{00000000-0008-0000-0100-000070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77" name="Text 19">
          <a:extLst>
            <a:ext uri="{FF2B5EF4-FFF2-40B4-BE49-F238E27FC236}">
              <a16:creationId xmlns:a16="http://schemas.microsoft.com/office/drawing/2014/main" id="{00000000-0008-0000-0100-000071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78" name="Text 19">
          <a:extLst>
            <a:ext uri="{FF2B5EF4-FFF2-40B4-BE49-F238E27FC236}">
              <a16:creationId xmlns:a16="http://schemas.microsoft.com/office/drawing/2014/main" id="{00000000-0008-0000-0100-000072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79" name="Text 19">
          <a:extLst>
            <a:ext uri="{FF2B5EF4-FFF2-40B4-BE49-F238E27FC236}">
              <a16:creationId xmlns:a16="http://schemas.microsoft.com/office/drawing/2014/main" id="{00000000-0008-0000-0100-000073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80" name="Text 19">
          <a:extLst>
            <a:ext uri="{FF2B5EF4-FFF2-40B4-BE49-F238E27FC236}">
              <a16:creationId xmlns:a16="http://schemas.microsoft.com/office/drawing/2014/main" id="{00000000-0008-0000-0100-000074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81" name="Text 19">
          <a:extLst>
            <a:ext uri="{FF2B5EF4-FFF2-40B4-BE49-F238E27FC236}">
              <a16:creationId xmlns:a16="http://schemas.microsoft.com/office/drawing/2014/main" id="{00000000-0008-0000-0100-000075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82" name="Text 19">
          <a:extLst>
            <a:ext uri="{FF2B5EF4-FFF2-40B4-BE49-F238E27FC236}">
              <a16:creationId xmlns:a16="http://schemas.microsoft.com/office/drawing/2014/main" id="{00000000-0008-0000-0100-000076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83" name="Text 19">
          <a:extLst>
            <a:ext uri="{FF2B5EF4-FFF2-40B4-BE49-F238E27FC236}">
              <a16:creationId xmlns:a16="http://schemas.microsoft.com/office/drawing/2014/main" id="{00000000-0008-0000-0100-000077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84" name="Text 19">
          <a:extLst>
            <a:ext uri="{FF2B5EF4-FFF2-40B4-BE49-F238E27FC236}">
              <a16:creationId xmlns:a16="http://schemas.microsoft.com/office/drawing/2014/main" id="{00000000-0008-0000-0100-000078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85" name="Text 19">
          <a:extLst>
            <a:ext uri="{FF2B5EF4-FFF2-40B4-BE49-F238E27FC236}">
              <a16:creationId xmlns:a16="http://schemas.microsoft.com/office/drawing/2014/main" id="{00000000-0008-0000-0100-000079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86" name="Text 19">
          <a:extLst>
            <a:ext uri="{FF2B5EF4-FFF2-40B4-BE49-F238E27FC236}">
              <a16:creationId xmlns:a16="http://schemas.microsoft.com/office/drawing/2014/main" id="{00000000-0008-0000-0100-00007A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87" name="Text 19">
          <a:extLst>
            <a:ext uri="{FF2B5EF4-FFF2-40B4-BE49-F238E27FC236}">
              <a16:creationId xmlns:a16="http://schemas.microsoft.com/office/drawing/2014/main" id="{00000000-0008-0000-0100-00007B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88" name="Text 19">
          <a:extLst>
            <a:ext uri="{FF2B5EF4-FFF2-40B4-BE49-F238E27FC236}">
              <a16:creationId xmlns:a16="http://schemas.microsoft.com/office/drawing/2014/main" id="{00000000-0008-0000-0100-00007C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89" name="Text 19">
          <a:extLst>
            <a:ext uri="{FF2B5EF4-FFF2-40B4-BE49-F238E27FC236}">
              <a16:creationId xmlns:a16="http://schemas.microsoft.com/office/drawing/2014/main" id="{00000000-0008-0000-0100-00007D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90" name="Text 19">
          <a:extLst>
            <a:ext uri="{FF2B5EF4-FFF2-40B4-BE49-F238E27FC236}">
              <a16:creationId xmlns:a16="http://schemas.microsoft.com/office/drawing/2014/main" id="{00000000-0008-0000-0100-00007E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91" name="Text 19">
          <a:extLst>
            <a:ext uri="{FF2B5EF4-FFF2-40B4-BE49-F238E27FC236}">
              <a16:creationId xmlns:a16="http://schemas.microsoft.com/office/drawing/2014/main" id="{00000000-0008-0000-0100-00007F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92" name="Text 19">
          <a:extLst>
            <a:ext uri="{FF2B5EF4-FFF2-40B4-BE49-F238E27FC236}">
              <a16:creationId xmlns:a16="http://schemas.microsoft.com/office/drawing/2014/main" id="{00000000-0008-0000-0100-000080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93" name="Text 19">
          <a:extLst>
            <a:ext uri="{FF2B5EF4-FFF2-40B4-BE49-F238E27FC236}">
              <a16:creationId xmlns:a16="http://schemas.microsoft.com/office/drawing/2014/main" id="{00000000-0008-0000-0100-000081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94" name="Text 19">
          <a:extLst>
            <a:ext uri="{FF2B5EF4-FFF2-40B4-BE49-F238E27FC236}">
              <a16:creationId xmlns:a16="http://schemas.microsoft.com/office/drawing/2014/main" id="{00000000-0008-0000-0100-000082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95" name="Text 19">
          <a:extLst>
            <a:ext uri="{FF2B5EF4-FFF2-40B4-BE49-F238E27FC236}">
              <a16:creationId xmlns:a16="http://schemas.microsoft.com/office/drawing/2014/main" id="{00000000-0008-0000-0100-000083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96" name="Text 19">
          <a:extLst>
            <a:ext uri="{FF2B5EF4-FFF2-40B4-BE49-F238E27FC236}">
              <a16:creationId xmlns:a16="http://schemas.microsoft.com/office/drawing/2014/main" id="{00000000-0008-0000-0100-000084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97" name="Text 19">
          <a:extLst>
            <a:ext uri="{FF2B5EF4-FFF2-40B4-BE49-F238E27FC236}">
              <a16:creationId xmlns:a16="http://schemas.microsoft.com/office/drawing/2014/main" id="{00000000-0008-0000-0100-000085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98" name="Text 19">
          <a:extLst>
            <a:ext uri="{FF2B5EF4-FFF2-40B4-BE49-F238E27FC236}">
              <a16:creationId xmlns:a16="http://schemas.microsoft.com/office/drawing/2014/main" id="{00000000-0008-0000-0100-000086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399" name="Text 19">
          <a:extLst>
            <a:ext uri="{FF2B5EF4-FFF2-40B4-BE49-F238E27FC236}">
              <a16:creationId xmlns:a16="http://schemas.microsoft.com/office/drawing/2014/main" id="{00000000-0008-0000-0100-000087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00" name="Text 19">
          <a:extLst>
            <a:ext uri="{FF2B5EF4-FFF2-40B4-BE49-F238E27FC236}">
              <a16:creationId xmlns:a16="http://schemas.microsoft.com/office/drawing/2014/main" id="{00000000-0008-0000-0100-000088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01" name="Text 19">
          <a:extLst>
            <a:ext uri="{FF2B5EF4-FFF2-40B4-BE49-F238E27FC236}">
              <a16:creationId xmlns:a16="http://schemas.microsoft.com/office/drawing/2014/main" id="{00000000-0008-0000-0100-000089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02" name="Text 19">
          <a:extLst>
            <a:ext uri="{FF2B5EF4-FFF2-40B4-BE49-F238E27FC236}">
              <a16:creationId xmlns:a16="http://schemas.microsoft.com/office/drawing/2014/main" id="{00000000-0008-0000-0100-00008A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03" name="Text 19">
          <a:extLst>
            <a:ext uri="{FF2B5EF4-FFF2-40B4-BE49-F238E27FC236}">
              <a16:creationId xmlns:a16="http://schemas.microsoft.com/office/drawing/2014/main" id="{00000000-0008-0000-0100-00008B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04" name="Text 19">
          <a:extLst>
            <a:ext uri="{FF2B5EF4-FFF2-40B4-BE49-F238E27FC236}">
              <a16:creationId xmlns:a16="http://schemas.microsoft.com/office/drawing/2014/main" id="{00000000-0008-0000-0100-00008C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05" name="Text 19">
          <a:extLst>
            <a:ext uri="{FF2B5EF4-FFF2-40B4-BE49-F238E27FC236}">
              <a16:creationId xmlns:a16="http://schemas.microsoft.com/office/drawing/2014/main" id="{00000000-0008-0000-0100-00008D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06" name="Text 19">
          <a:extLst>
            <a:ext uri="{FF2B5EF4-FFF2-40B4-BE49-F238E27FC236}">
              <a16:creationId xmlns:a16="http://schemas.microsoft.com/office/drawing/2014/main" id="{00000000-0008-0000-0100-00008E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07" name="Text 19">
          <a:extLst>
            <a:ext uri="{FF2B5EF4-FFF2-40B4-BE49-F238E27FC236}">
              <a16:creationId xmlns:a16="http://schemas.microsoft.com/office/drawing/2014/main" id="{00000000-0008-0000-0100-00008F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08" name="Text 19">
          <a:extLst>
            <a:ext uri="{FF2B5EF4-FFF2-40B4-BE49-F238E27FC236}">
              <a16:creationId xmlns:a16="http://schemas.microsoft.com/office/drawing/2014/main" id="{00000000-0008-0000-0100-000090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09" name="Text 19">
          <a:extLst>
            <a:ext uri="{FF2B5EF4-FFF2-40B4-BE49-F238E27FC236}">
              <a16:creationId xmlns:a16="http://schemas.microsoft.com/office/drawing/2014/main" id="{00000000-0008-0000-0100-000091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10" name="Text 19">
          <a:extLst>
            <a:ext uri="{FF2B5EF4-FFF2-40B4-BE49-F238E27FC236}">
              <a16:creationId xmlns:a16="http://schemas.microsoft.com/office/drawing/2014/main" id="{00000000-0008-0000-0100-000092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11" name="Text 19">
          <a:extLst>
            <a:ext uri="{FF2B5EF4-FFF2-40B4-BE49-F238E27FC236}">
              <a16:creationId xmlns:a16="http://schemas.microsoft.com/office/drawing/2014/main" id="{00000000-0008-0000-0100-000093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12" name="Text 19">
          <a:extLst>
            <a:ext uri="{FF2B5EF4-FFF2-40B4-BE49-F238E27FC236}">
              <a16:creationId xmlns:a16="http://schemas.microsoft.com/office/drawing/2014/main" id="{00000000-0008-0000-0100-000094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13" name="Text 19">
          <a:extLst>
            <a:ext uri="{FF2B5EF4-FFF2-40B4-BE49-F238E27FC236}">
              <a16:creationId xmlns:a16="http://schemas.microsoft.com/office/drawing/2014/main" id="{00000000-0008-0000-0100-000095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14" name="Text 19">
          <a:extLst>
            <a:ext uri="{FF2B5EF4-FFF2-40B4-BE49-F238E27FC236}">
              <a16:creationId xmlns:a16="http://schemas.microsoft.com/office/drawing/2014/main" id="{00000000-0008-0000-0100-000096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15" name="Text 19">
          <a:extLst>
            <a:ext uri="{FF2B5EF4-FFF2-40B4-BE49-F238E27FC236}">
              <a16:creationId xmlns:a16="http://schemas.microsoft.com/office/drawing/2014/main" id="{00000000-0008-0000-0100-000097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16" name="Text 19">
          <a:extLst>
            <a:ext uri="{FF2B5EF4-FFF2-40B4-BE49-F238E27FC236}">
              <a16:creationId xmlns:a16="http://schemas.microsoft.com/office/drawing/2014/main" id="{00000000-0008-0000-0100-000098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17" name="Text 19">
          <a:extLst>
            <a:ext uri="{FF2B5EF4-FFF2-40B4-BE49-F238E27FC236}">
              <a16:creationId xmlns:a16="http://schemas.microsoft.com/office/drawing/2014/main" id="{00000000-0008-0000-0100-000099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18" name="Text 19">
          <a:extLst>
            <a:ext uri="{FF2B5EF4-FFF2-40B4-BE49-F238E27FC236}">
              <a16:creationId xmlns:a16="http://schemas.microsoft.com/office/drawing/2014/main" id="{00000000-0008-0000-0100-00009A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19" name="Text 19">
          <a:extLst>
            <a:ext uri="{FF2B5EF4-FFF2-40B4-BE49-F238E27FC236}">
              <a16:creationId xmlns:a16="http://schemas.microsoft.com/office/drawing/2014/main" id="{00000000-0008-0000-0100-00009B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20" name="Text 19">
          <a:extLst>
            <a:ext uri="{FF2B5EF4-FFF2-40B4-BE49-F238E27FC236}">
              <a16:creationId xmlns:a16="http://schemas.microsoft.com/office/drawing/2014/main" id="{00000000-0008-0000-0100-00009C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21" name="Text 19">
          <a:extLst>
            <a:ext uri="{FF2B5EF4-FFF2-40B4-BE49-F238E27FC236}">
              <a16:creationId xmlns:a16="http://schemas.microsoft.com/office/drawing/2014/main" id="{00000000-0008-0000-0100-00009D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22" name="Text 19">
          <a:extLst>
            <a:ext uri="{FF2B5EF4-FFF2-40B4-BE49-F238E27FC236}">
              <a16:creationId xmlns:a16="http://schemas.microsoft.com/office/drawing/2014/main" id="{00000000-0008-0000-0100-00009E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23" name="Text 19">
          <a:extLst>
            <a:ext uri="{FF2B5EF4-FFF2-40B4-BE49-F238E27FC236}">
              <a16:creationId xmlns:a16="http://schemas.microsoft.com/office/drawing/2014/main" id="{00000000-0008-0000-0100-00009F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24" name="Text 19">
          <a:extLst>
            <a:ext uri="{FF2B5EF4-FFF2-40B4-BE49-F238E27FC236}">
              <a16:creationId xmlns:a16="http://schemas.microsoft.com/office/drawing/2014/main" id="{00000000-0008-0000-0100-0000A0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25" name="Text 19">
          <a:extLst>
            <a:ext uri="{FF2B5EF4-FFF2-40B4-BE49-F238E27FC236}">
              <a16:creationId xmlns:a16="http://schemas.microsoft.com/office/drawing/2014/main" id="{00000000-0008-0000-0100-0000A1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26" name="Text 19">
          <a:extLst>
            <a:ext uri="{FF2B5EF4-FFF2-40B4-BE49-F238E27FC236}">
              <a16:creationId xmlns:a16="http://schemas.microsoft.com/office/drawing/2014/main" id="{00000000-0008-0000-0100-0000A2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27" name="Text 19">
          <a:extLst>
            <a:ext uri="{FF2B5EF4-FFF2-40B4-BE49-F238E27FC236}">
              <a16:creationId xmlns:a16="http://schemas.microsoft.com/office/drawing/2014/main" id="{00000000-0008-0000-0100-0000A3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28" name="Text 19">
          <a:extLst>
            <a:ext uri="{FF2B5EF4-FFF2-40B4-BE49-F238E27FC236}">
              <a16:creationId xmlns:a16="http://schemas.microsoft.com/office/drawing/2014/main" id="{00000000-0008-0000-0100-0000A4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29" name="Text 19">
          <a:extLst>
            <a:ext uri="{FF2B5EF4-FFF2-40B4-BE49-F238E27FC236}">
              <a16:creationId xmlns:a16="http://schemas.microsoft.com/office/drawing/2014/main" id="{00000000-0008-0000-0100-0000A5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30" name="Text 19">
          <a:extLst>
            <a:ext uri="{FF2B5EF4-FFF2-40B4-BE49-F238E27FC236}">
              <a16:creationId xmlns:a16="http://schemas.microsoft.com/office/drawing/2014/main" id="{00000000-0008-0000-0100-0000A6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31" name="Text 19">
          <a:extLst>
            <a:ext uri="{FF2B5EF4-FFF2-40B4-BE49-F238E27FC236}">
              <a16:creationId xmlns:a16="http://schemas.microsoft.com/office/drawing/2014/main" id="{00000000-0008-0000-0100-0000A7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32" name="Text 19">
          <a:extLst>
            <a:ext uri="{FF2B5EF4-FFF2-40B4-BE49-F238E27FC236}">
              <a16:creationId xmlns:a16="http://schemas.microsoft.com/office/drawing/2014/main" id="{00000000-0008-0000-0100-0000A8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33" name="Text 19">
          <a:extLst>
            <a:ext uri="{FF2B5EF4-FFF2-40B4-BE49-F238E27FC236}">
              <a16:creationId xmlns:a16="http://schemas.microsoft.com/office/drawing/2014/main" id="{00000000-0008-0000-0100-0000A9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34" name="Text 19">
          <a:extLst>
            <a:ext uri="{FF2B5EF4-FFF2-40B4-BE49-F238E27FC236}">
              <a16:creationId xmlns:a16="http://schemas.microsoft.com/office/drawing/2014/main" id="{00000000-0008-0000-0100-0000AA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35" name="Text 19">
          <a:extLst>
            <a:ext uri="{FF2B5EF4-FFF2-40B4-BE49-F238E27FC236}">
              <a16:creationId xmlns:a16="http://schemas.microsoft.com/office/drawing/2014/main" id="{00000000-0008-0000-0100-0000AB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36" name="Text 19">
          <a:extLst>
            <a:ext uri="{FF2B5EF4-FFF2-40B4-BE49-F238E27FC236}">
              <a16:creationId xmlns:a16="http://schemas.microsoft.com/office/drawing/2014/main" id="{00000000-0008-0000-0100-0000AC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37" name="Text 19">
          <a:extLst>
            <a:ext uri="{FF2B5EF4-FFF2-40B4-BE49-F238E27FC236}">
              <a16:creationId xmlns:a16="http://schemas.microsoft.com/office/drawing/2014/main" id="{00000000-0008-0000-0100-0000AD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38" name="Text 19">
          <a:extLst>
            <a:ext uri="{FF2B5EF4-FFF2-40B4-BE49-F238E27FC236}">
              <a16:creationId xmlns:a16="http://schemas.microsoft.com/office/drawing/2014/main" id="{00000000-0008-0000-0100-0000AE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39" name="Text 19">
          <a:extLst>
            <a:ext uri="{FF2B5EF4-FFF2-40B4-BE49-F238E27FC236}">
              <a16:creationId xmlns:a16="http://schemas.microsoft.com/office/drawing/2014/main" id="{00000000-0008-0000-0100-0000AF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40" name="Text 19">
          <a:extLst>
            <a:ext uri="{FF2B5EF4-FFF2-40B4-BE49-F238E27FC236}">
              <a16:creationId xmlns:a16="http://schemas.microsoft.com/office/drawing/2014/main" id="{00000000-0008-0000-0100-0000B0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41" name="Text 19">
          <a:extLst>
            <a:ext uri="{FF2B5EF4-FFF2-40B4-BE49-F238E27FC236}">
              <a16:creationId xmlns:a16="http://schemas.microsoft.com/office/drawing/2014/main" id="{00000000-0008-0000-0100-0000B1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42" name="Text 19">
          <a:extLst>
            <a:ext uri="{FF2B5EF4-FFF2-40B4-BE49-F238E27FC236}">
              <a16:creationId xmlns:a16="http://schemas.microsoft.com/office/drawing/2014/main" id="{00000000-0008-0000-0100-0000B2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21903</xdr:rowOff>
    </xdr:to>
    <xdr:sp macro="" textlink="">
      <xdr:nvSpPr>
        <xdr:cNvPr id="11443" name="Text 19">
          <a:extLst>
            <a:ext uri="{FF2B5EF4-FFF2-40B4-BE49-F238E27FC236}">
              <a16:creationId xmlns:a16="http://schemas.microsoft.com/office/drawing/2014/main" id="{00000000-0008-0000-0100-0000B32C0000}"/>
            </a:ext>
          </a:extLst>
        </xdr:cNvPr>
        <xdr:cNvSpPr txBox="1">
          <a:spLocks noChangeArrowheads="1"/>
        </xdr:cNvSpPr>
      </xdr:nvSpPr>
      <xdr:spPr bwMode="auto">
        <a:xfrm>
          <a:off x="4562475" y="80743425"/>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44" name="Text 19">
          <a:extLst>
            <a:ext uri="{FF2B5EF4-FFF2-40B4-BE49-F238E27FC236}">
              <a16:creationId xmlns:a16="http://schemas.microsoft.com/office/drawing/2014/main" id="{00000000-0008-0000-0100-0000B4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45" name="Text 19">
          <a:extLst>
            <a:ext uri="{FF2B5EF4-FFF2-40B4-BE49-F238E27FC236}">
              <a16:creationId xmlns:a16="http://schemas.microsoft.com/office/drawing/2014/main" id="{00000000-0008-0000-0100-0000B5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46" name="Text 19">
          <a:extLst>
            <a:ext uri="{FF2B5EF4-FFF2-40B4-BE49-F238E27FC236}">
              <a16:creationId xmlns:a16="http://schemas.microsoft.com/office/drawing/2014/main" id="{00000000-0008-0000-0100-0000B6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47" name="Text 19">
          <a:extLst>
            <a:ext uri="{FF2B5EF4-FFF2-40B4-BE49-F238E27FC236}">
              <a16:creationId xmlns:a16="http://schemas.microsoft.com/office/drawing/2014/main" id="{00000000-0008-0000-0100-0000B7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48" name="Text 19">
          <a:extLst>
            <a:ext uri="{FF2B5EF4-FFF2-40B4-BE49-F238E27FC236}">
              <a16:creationId xmlns:a16="http://schemas.microsoft.com/office/drawing/2014/main" id="{00000000-0008-0000-0100-0000B8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49" name="Text 19">
          <a:extLst>
            <a:ext uri="{FF2B5EF4-FFF2-40B4-BE49-F238E27FC236}">
              <a16:creationId xmlns:a16="http://schemas.microsoft.com/office/drawing/2014/main" id="{00000000-0008-0000-0100-0000B9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50" name="Text 19">
          <a:extLst>
            <a:ext uri="{FF2B5EF4-FFF2-40B4-BE49-F238E27FC236}">
              <a16:creationId xmlns:a16="http://schemas.microsoft.com/office/drawing/2014/main" id="{00000000-0008-0000-0100-0000BA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51" name="Text 19">
          <a:extLst>
            <a:ext uri="{FF2B5EF4-FFF2-40B4-BE49-F238E27FC236}">
              <a16:creationId xmlns:a16="http://schemas.microsoft.com/office/drawing/2014/main" id="{00000000-0008-0000-0100-0000BB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52" name="Text 19">
          <a:extLst>
            <a:ext uri="{FF2B5EF4-FFF2-40B4-BE49-F238E27FC236}">
              <a16:creationId xmlns:a16="http://schemas.microsoft.com/office/drawing/2014/main" id="{00000000-0008-0000-0100-0000BC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53" name="Text 19">
          <a:extLst>
            <a:ext uri="{FF2B5EF4-FFF2-40B4-BE49-F238E27FC236}">
              <a16:creationId xmlns:a16="http://schemas.microsoft.com/office/drawing/2014/main" id="{00000000-0008-0000-0100-0000BD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54" name="Text 19">
          <a:extLst>
            <a:ext uri="{FF2B5EF4-FFF2-40B4-BE49-F238E27FC236}">
              <a16:creationId xmlns:a16="http://schemas.microsoft.com/office/drawing/2014/main" id="{00000000-0008-0000-0100-0000BE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55" name="Text 19">
          <a:extLst>
            <a:ext uri="{FF2B5EF4-FFF2-40B4-BE49-F238E27FC236}">
              <a16:creationId xmlns:a16="http://schemas.microsoft.com/office/drawing/2014/main" id="{00000000-0008-0000-0100-0000BF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56" name="Text 19">
          <a:extLst>
            <a:ext uri="{FF2B5EF4-FFF2-40B4-BE49-F238E27FC236}">
              <a16:creationId xmlns:a16="http://schemas.microsoft.com/office/drawing/2014/main" id="{00000000-0008-0000-0100-0000C0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57" name="Text 19">
          <a:extLst>
            <a:ext uri="{FF2B5EF4-FFF2-40B4-BE49-F238E27FC236}">
              <a16:creationId xmlns:a16="http://schemas.microsoft.com/office/drawing/2014/main" id="{00000000-0008-0000-0100-0000C1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58" name="Text 19">
          <a:extLst>
            <a:ext uri="{FF2B5EF4-FFF2-40B4-BE49-F238E27FC236}">
              <a16:creationId xmlns:a16="http://schemas.microsoft.com/office/drawing/2014/main" id="{00000000-0008-0000-0100-0000C2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59" name="Text 19">
          <a:extLst>
            <a:ext uri="{FF2B5EF4-FFF2-40B4-BE49-F238E27FC236}">
              <a16:creationId xmlns:a16="http://schemas.microsoft.com/office/drawing/2014/main" id="{00000000-0008-0000-0100-0000C3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60" name="Text 19">
          <a:extLst>
            <a:ext uri="{FF2B5EF4-FFF2-40B4-BE49-F238E27FC236}">
              <a16:creationId xmlns:a16="http://schemas.microsoft.com/office/drawing/2014/main" id="{00000000-0008-0000-0100-0000C4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61" name="Text 19">
          <a:extLst>
            <a:ext uri="{FF2B5EF4-FFF2-40B4-BE49-F238E27FC236}">
              <a16:creationId xmlns:a16="http://schemas.microsoft.com/office/drawing/2014/main" id="{00000000-0008-0000-0100-0000C5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62" name="Text 19">
          <a:extLst>
            <a:ext uri="{FF2B5EF4-FFF2-40B4-BE49-F238E27FC236}">
              <a16:creationId xmlns:a16="http://schemas.microsoft.com/office/drawing/2014/main" id="{00000000-0008-0000-0100-0000C6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63" name="Text 19">
          <a:extLst>
            <a:ext uri="{FF2B5EF4-FFF2-40B4-BE49-F238E27FC236}">
              <a16:creationId xmlns:a16="http://schemas.microsoft.com/office/drawing/2014/main" id="{00000000-0008-0000-0100-0000C7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64" name="Text 19">
          <a:extLst>
            <a:ext uri="{FF2B5EF4-FFF2-40B4-BE49-F238E27FC236}">
              <a16:creationId xmlns:a16="http://schemas.microsoft.com/office/drawing/2014/main" id="{00000000-0008-0000-0100-0000C8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65" name="Text 19">
          <a:extLst>
            <a:ext uri="{FF2B5EF4-FFF2-40B4-BE49-F238E27FC236}">
              <a16:creationId xmlns:a16="http://schemas.microsoft.com/office/drawing/2014/main" id="{00000000-0008-0000-0100-0000C9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66" name="Text 19">
          <a:extLst>
            <a:ext uri="{FF2B5EF4-FFF2-40B4-BE49-F238E27FC236}">
              <a16:creationId xmlns:a16="http://schemas.microsoft.com/office/drawing/2014/main" id="{00000000-0008-0000-0100-0000CA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67" name="Text 19">
          <a:extLst>
            <a:ext uri="{FF2B5EF4-FFF2-40B4-BE49-F238E27FC236}">
              <a16:creationId xmlns:a16="http://schemas.microsoft.com/office/drawing/2014/main" id="{00000000-0008-0000-0100-0000CB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68" name="Text 19">
          <a:extLst>
            <a:ext uri="{FF2B5EF4-FFF2-40B4-BE49-F238E27FC236}">
              <a16:creationId xmlns:a16="http://schemas.microsoft.com/office/drawing/2014/main" id="{00000000-0008-0000-0100-0000CC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69" name="Text 19">
          <a:extLst>
            <a:ext uri="{FF2B5EF4-FFF2-40B4-BE49-F238E27FC236}">
              <a16:creationId xmlns:a16="http://schemas.microsoft.com/office/drawing/2014/main" id="{00000000-0008-0000-0100-0000CD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70" name="Text 19">
          <a:extLst>
            <a:ext uri="{FF2B5EF4-FFF2-40B4-BE49-F238E27FC236}">
              <a16:creationId xmlns:a16="http://schemas.microsoft.com/office/drawing/2014/main" id="{00000000-0008-0000-0100-0000CE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71" name="Text 19">
          <a:extLst>
            <a:ext uri="{FF2B5EF4-FFF2-40B4-BE49-F238E27FC236}">
              <a16:creationId xmlns:a16="http://schemas.microsoft.com/office/drawing/2014/main" id="{00000000-0008-0000-0100-0000CF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72" name="Text 19">
          <a:extLst>
            <a:ext uri="{FF2B5EF4-FFF2-40B4-BE49-F238E27FC236}">
              <a16:creationId xmlns:a16="http://schemas.microsoft.com/office/drawing/2014/main" id="{00000000-0008-0000-0100-0000D0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73" name="Text 19">
          <a:extLst>
            <a:ext uri="{FF2B5EF4-FFF2-40B4-BE49-F238E27FC236}">
              <a16:creationId xmlns:a16="http://schemas.microsoft.com/office/drawing/2014/main" id="{00000000-0008-0000-0100-0000D1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74" name="Text 19">
          <a:extLst>
            <a:ext uri="{FF2B5EF4-FFF2-40B4-BE49-F238E27FC236}">
              <a16:creationId xmlns:a16="http://schemas.microsoft.com/office/drawing/2014/main" id="{00000000-0008-0000-0100-0000D2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75" name="Text 19">
          <a:extLst>
            <a:ext uri="{FF2B5EF4-FFF2-40B4-BE49-F238E27FC236}">
              <a16:creationId xmlns:a16="http://schemas.microsoft.com/office/drawing/2014/main" id="{00000000-0008-0000-0100-0000D3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76" name="Text 19">
          <a:extLst>
            <a:ext uri="{FF2B5EF4-FFF2-40B4-BE49-F238E27FC236}">
              <a16:creationId xmlns:a16="http://schemas.microsoft.com/office/drawing/2014/main" id="{00000000-0008-0000-0100-0000D4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77" name="Text 19">
          <a:extLst>
            <a:ext uri="{FF2B5EF4-FFF2-40B4-BE49-F238E27FC236}">
              <a16:creationId xmlns:a16="http://schemas.microsoft.com/office/drawing/2014/main" id="{00000000-0008-0000-0100-0000D5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78" name="Text 19">
          <a:extLst>
            <a:ext uri="{FF2B5EF4-FFF2-40B4-BE49-F238E27FC236}">
              <a16:creationId xmlns:a16="http://schemas.microsoft.com/office/drawing/2014/main" id="{00000000-0008-0000-0100-0000D6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79" name="Text 19">
          <a:extLst>
            <a:ext uri="{FF2B5EF4-FFF2-40B4-BE49-F238E27FC236}">
              <a16:creationId xmlns:a16="http://schemas.microsoft.com/office/drawing/2014/main" id="{00000000-0008-0000-0100-0000D7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80" name="Text 19">
          <a:extLst>
            <a:ext uri="{FF2B5EF4-FFF2-40B4-BE49-F238E27FC236}">
              <a16:creationId xmlns:a16="http://schemas.microsoft.com/office/drawing/2014/main" id="{00000000-0008-0000-0100-0000D8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81" name="Text 19">
          <a:extLst>
            <a:ext uri="{FF2B5EF4-FFF2-40B4-BE49-F238E27FC236}">
              <a16:creationId xmlns:a16="http://schemas.microsoft.com/office/drawing/2014/main" id="{00000000-0008-0000-0100-0000D9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82" name="Text 19">
          <a:extLst>
            <a:ext uri="{FF2B5EF4-FFF2-40B4-BE49-F238E27FC236}">
              <a16:creationId xmlns:a16="http://schemas.microsoft.com/office/drawing/2014/main" id="{00000000-0008-0000-0100-0000DA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83" name="Text 19">
          <a:extLst>
            <a:ext uri="{FF2B5EF4-FFF2-40B4-BE49-F238E27FC236}">
              <a16:creationId xmlns:a16="http://schemas.microsoft.com/office/drawing/2014/main" id="{00000000-0008-0000-0100-0000DB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84" name="Text 19">
          <a:extLst>
            <a:ext uri="{FF2B5EF4-FFF2-40B4-BE49-F238E27FC236}">
              <a16:creationId xmlns:a16="http://schemas.microsoft.com/office/drawing/2014/main" id="{00000000-0008-0000-0100-0000DC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85" name="Text 19">
          <a:extLst>
            <a:ext uri="{FF2B5EF4-FFF2-40B4-BE49-F238E27FC236}">
              <a16:creationId xmlns:a16="http://schemas.microsoft.com/office/drawing/2014/main" id="{00000000-0008-0000-0100-0000DD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86" name="Text 19">
          <a:extLst>
            <a:ext uri="{FF2B5EF4-FFF2-40B4-BE49-F238E27FC236}">
              <a16:creationId xmlns:a16="http://schemas.microsoft.com/office/drawing/2014/main" id="{00000000-0008-0000-0100-0000DE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87" name="Text 19">
          <a:extLst>
            <a:ext uri="{FF2B5EF4-FFF2-40B4-BE49-F238E27FC236}">
              <a16:creationId xmlns:a16="http://schemas.microsoft.com/office/drawing/2014/main" id="{00000000-0008-0000-0100-0000DF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88" name="Text 19">
          <a:extLst>
            <a:ext uri="{FF2B5EF4-FFF2-40B4-BE49-F238E27FC236}">
              <a16:creationId xmlns:a16="http://schemas.microsoft.com/office/drawing/2014/main" id="{00000000-0008-0000-0100-0000E0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89" name="Text 19">
          <a:extLst>
            <a:ext uri="{FF2B5EF4-FFF2-40B4-BE49-F238E27FC236}">
              <a16:creationId xmlns:a16="http://schemas.microsoft.com/office/drawing/2014/main" id="{00000000-0008-0000-0100-0000E1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90" name="Text 19">
          <a:extLst>
            <a:ext uri="{FF2B5EF4-FFF2-40B4-BE49-F238E27FC236}">
              <a16:creationId xmlns:a16="http://schemas.microsoft.com/office/drawing/2014/main" id="{00000000-0008-0000-0100-0000E2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91" name="Text 19">
          <a:extLst>
            <a:ext uri="{FF2B5EF4-FFF2-40B4-BE49-F238E27FC236}">
              <a16:creationId xmlns:a16="http://schemas.microsoft.com/office/drawing/2014/main" id="{00000000-0008-0000-0100-0000E3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92" name="Text 19">
          <a:extLst>
            <a:ext uri="{FF2B5EF4-FFF2-40B4-BE49-F238E27FC236}">
              <a16:creationId xmlns:a16="http://schemas.microsoft.com/office/drawing/2014/main" id="{00000000-0008-0000-0100-0000E4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93" name="Text 19">
          <a:extLst>
            <a:ext uri="{FF2B5EF4-FFF2-40B4-BE49-F238E27FC236}">
              <a16:creationId xmlns:a16="http://schemas.microsoft.com/office/drawing/2014/main" id="{00000000-0008-0000-0100-0000E5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94" name="Text 19">
          <a:extLst>
            <a:ext uri="{FF2B5EF4-FFF2-40B4-BE49-F238E27FC236}">
              <a16:creationId xmlns:a16="http://schemas.microsoft.com/office/drawing/2014/main" id="{00000000-0008-0000-0100-0000E6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95" name="Text 19">
          <a:extLst>
            <a:ext uri="{FF2B5EF4-FFF2-40B4-BE49-F238E27FC236}">
              <a16:creationId xmlns:a16="http://schemas.microsoft.com/office/drawing/2014/main" id="{00000000-0008-0000-0100-0000E7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96" name="Text 19">
          <a:extLst>
            <a:ext uri="{FF2B5EF4-FFF2-40B4-BE49-F238E27FC236}">
              <a16:creationId xmlns:a16="http://schemas.microsoft.com/office/drawing/2014/main" id="{00000000-0008-0000-0100-0000E8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97" name="Text 19">
          <a:extLst>
            <a:ext uri="{FF2B5EF4-FFF2-40B4-BE49-F238E27FC236}">
              <a16:creationId xmlns:a16="http://schemas.microsoft.com/office/drawing/2014/main" id="{00000000-0008-0000-0100-0000E9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98" name="Text 19">
          <a:extLst>
            <a:ext uri="{FF2B5EF4-FFF2-40B4-BE49-F238E27FC236}">
              <a16:creationId xmlns:a16="http://schemas.microsoft.com/office/drawing/2014/main" id="{00000000-0008-0000-0100-0000EA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499" name="Text 19">
          <a:extLst>
            <a:ext uri="{FF2B5EF4-FFF2-40B4-BE49-F238E27FC236}">
              <a16:creationId xmlns:a16="http://schemas.microsoft.com/office/drawing/2014/main" id="{00000000-0008-0000-0100-0000EB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00" name="Text 19">
          <a:extLst>
            <a:ext uri="{FF2B5EF4-FFF2-40B4-BE49-F238E27FC236}">
              <a16:creationId xmlns:a16="http://schemas.microsoft.com/office/drawing/2014/main" id="{00000000-0008-0000-0100-0000EC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01" name="Text 19">
          <a:extLst>
            <a:ext uri="{FF2B5EF4-FFF2-40B4-BE49-F238E27FC236}">
              <a16:creationId xmlns:a16="http://schemas.microsoft.com/office/drawing/2014/main" id="{00000000-0008-0000-0100-0000ED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02" name="Text 19">
          <a:extLst>
            <a:ext uri="{FF2B5EF4-FFF2-40B4-BE49-F238E27FC236}">
              <a16:creationId xmlns:a16="http://schemas.microsoft.com/office/drawing/2014/main" id="{00000000-0008-0000-0100-0000EE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03" name="Text 19">
          <a:extLst>
            <a:ext uri="{FF2B5EF4-FFF2-40B4-BE49-F238E27FC236}">
              <a16:creationId xmlns:a16="http://schemas.microsoft.com/office/drawing/2014/main" id="{00000000-0008-0000-0100-0000EF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04" name="Text 19">
          <a:extLst>
            <a:ext uri="{FF2B5EF4-FFF2-40B4-BE49-F238E27FC236}">
              <a16:creationId xmlns:a16="http://schemas.microsoft.com/office/drawing/2014/main" id="{00000000-0008-0000-0100-0000F0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05" name="Text 19">
          <a:extLst>
            <a:ext uri="{FF2B5EF4-FFF2-40B4-BE49-F238E27FC236}">
              <a16:creationId xmlns:a16="http://schemas.microsoft.com/office/drawing/2014/main" id="{00000000-0008-0000-0100-0000F1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06" name="Text 19">
          <a:extLst>
            <a:ext uri="{FF2B5EF4-FFF2-40B4-BE49-F238E27FC236}">
              <a16:creationId xmlns:a16="http://schemas.microsoft.com/office/drawing/2014/main" id="{00000000-0008-0000-0100-0000F2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07" name="Text 19">
          <a:extLst>
            <a:ext uri="{FF2B5EF4-FFF2-40B4-BE49-F238E27FC236}">
              <a16:creationId xmlns:a16="http://schemas.microsoft.com/office/drawing/2014/main" id="{00000000-0008-0000-0100-0000F3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08" name="Text 19">
          <a:extLst>
            <a:ext uri="{FF2B5EF4-FFF2-40B4-BE49-F238E27FC236}">
              <a16:creationId xmlns:a16="http://schemas.microsoft.com/office/drawing/2014/main" id="{00000000-0008-0000-0100-0000F4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09" name="Text 19">
          <a:extLst>
            <a:ext uri="{FF2B5EF4-FFF2-40B4-BE49-F238E27FC236}">
              <a16:creationId xmlns:a16="http://schemas.microsoft.com/office/drawing/2014/main" id="{00000000-0008-0000-0100-0000F5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10" name="Text 19">
          <a:extLst>
            <a:ext uri="{FF2B5EF4-FFF2-40B4-BE49-F238E27FC236}">
              <a16:creationId xmlns:a16="http://schemas.microsoft.com/office/drawing/2014/main" id="{00000000-0008-0000-0100-0000F6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11" name="Text 19">
          <a:extLst>
            <a:ext uri="{FF2B5EF4-FFF2-40B4-BE49-F238E27FC236}">
              <a16:creationId xmlns:a16="http://schemas.microsoft.com/office/drawing/2014/main" id="{00000000-0008-0000-0100-0000F7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12" name="Text 19">
          <a:extLst>
            <a:ext uri="{FF2B5EF4-FFF2-40B4-BE49-F238E27FC236}">
              <a16:creationId xmlns:a16="http://schemas.microsoft.com/office/drawing/2014/main" id="{00000000-0008-0000-0100-0000F8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13" name="Text 19">
          <a:extLst>
            <a:ext uri="{FF2B5EF4-FFF2-40B4-BE49-F238E27FC236}">
              <a16:creationId xmlns:a16="http://schemas.microsoft.com/office/drawing/2014/main" id="{00000000-0008-0000-0100-0000F9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14" name="Text 19">
          <a:extLst>
            <a:ext uri="{FF2B5EF4-FFF2-40B4-BE49-F238E27FC236}">
              <a16:creationId xmlns:a16="http://schemas.microsoft.com/office/drawing/2014/main" id="{00000000-0008-0000-0100-0000FA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15" name="Text 19">
          <a:extLst>
            <a:ext uri="{FF2B5EF4-FFF2-40B4-BE49-F238E27FC236}">
              <a16:creationId xmlns:a16="http://schemas.microsoft.com/office/drawing/2014/main" id="{00000000-0008-0000-0100-0000FB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16" name="Text 19">
          <a:extLst>
            <a:ext uri="{FF2B5EF4-FFF2-40B4-BE49-F238E27FC236}">
              <a16:creationId xmlns:a16="http://schemas.microsoft.com/office/drawing/2014/main" id="{00000000-0008-0000-0100-0000FC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17" name="Text 19">
          <a:extLst>
            <a:ext uri="{FF2B5EF4-FFF2-40B4-BE49-F238E27FC236}">
              <a16:creationId xmlns:a16="http://schemas.microsoft.com/office/drawing/2014/main" id="{00000000-0008-0000-0100-0000FD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18" name="Text 19">
          <a:extLst>
            <a:ext uri="{FF2B5EF4-FFF2-40B4-BE49-F238E27FC236}">
              <a16:creationId xmlns:a16="http://schemas.microsoft.com/office/drawing/2014/main" id="{00000000-0008-0000-0100-0000FE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19" name="Text 19">
          <a:extLst>
            <a:ext uri="{FF2B5EF4-FFF2-40B4-BE49-F238E27FC236}">
              <a16:creationId xmlns:a16="http://schemas.microsoft.com/office/drawing/2014/main" id="{00000000-0008-0000-0100-0000FF2C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20" name="Text 19">
          <a:extLst>
            <a:ext uri="{FF2B5EF4-FFF2-40B4-BE49-F238E27FC236}">
              <a16:creationId xmlns:a16="http://schemas.microsoft.com/office/drawing/2014/main" id="{00000000-0008-0000-0100-0000002D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21" name="Text 19">
          <a:extLst>
            <a:ext uri="{FF2B5EF4-FFF2-40B4-BE49-F238E27FC236}">
              <a16:creationId xmlns:a16="http://schemas.microsoft.com/office/drawing/2014/main" id="{00000000-0008-0000-0100-0000012D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163</xdr:row>
      <xdr:rowOff>0</xdr:rowOff>
    </xdr:from>
    <xdr:to>
      <xdr:col>3</xdr:col>
      <xdr:colOff>151503</xdr:colOff>
      <xdr:row>163</xdr:row>
      <xdr:rowOff>41511</xdr:rowOff>
    </xdr:to>
    <xdr:sp macro="" textlink="">
      <xdr:nvSpPr>
        <xdr:cNvPr id="11522" name="Text 19">
          <a:extLst>
            <a:ext uri="{FF2B5EF4-FFF2-40B4-BE49-F238E27FC236}">
              <a16:creationId xmlns:a16="http://schemas.microsoft.com/office/drawing/2014/main" id="{00000000-0008-0000-0100-0000022D0000}"/>
            </a:ext>
          </a:extLst>
        </xdr:cNvPr>
        <xdr:cNvSpPr txBox="1">
          <a:spLocks noChangeArrowheads="1"/>
        </xdr:cNvSpPr>
      </xdr:nvSpPr>
      <xdr:spPr bwMode="auto">
        <a:xfrm>
          <a:off x="4562475" y="99669600"/>
          <a:ext cx="400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23" name="Text 19">
          <a:extLst>
            <a:ext uri="{FF2B5EF4-FFF2-40B4-BE49-F238E27FC236}">
              <a16:creationId xmlns:a16="http://schemas.microsoft.com/office/drawing/2014/main" id="{00000000-0008-0000-0100-000003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24" name="Text 19">
          <a:extLst>
            <a:ext uri="{FF2B5EF4-FFF2-40B4-BE49-F238E27FC236}">
              <a16:creationId xmlns:a16="http://schemas.microsoft.com/office/drawing/2014/main" id="{00000000-0008-0000-0100-000004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25" name="Text 19">
          <a:extLst>
            <a:ext uri="{FF2B5EF4-FFF2-40B4-BE49-F238E27FC236}">
              <a16:creationId xmlns:a16="http://schemas.microsoft.com/office/drawing/2014/main" id="{00000000-0008-0000-0100-000005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26" name="Text 19">
          <a:extLst>
            <a:ext uri="{FF2B5EF4-FFF2-40B4-BE49-F238E27FC236}">
              <a16:creationId xmlns:a16="http://schemas.microsoft.com/office/drawing/2014/main" id="{00000000-0008-0000-0100-000006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27" name="Text 19">
          <a:extLst>
            <a:ext uri="{FF2B5EF4-FFF2-40B4-BE49-F238E27FC236}">
              <a16:creationId xmlns:a16="http://schemas.microsoft.com/office/drawing/2014/main" id="{00000000-0008-0000-0100-000007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28" name="Text 19">
          <a:extLst>
            <a:ext uri="{FF2B5EF4-FFF2-40B4-BE49-F238E27FC236}">
              <a16:creationId xmlns:a16="http://schemas.microsoft.com/office/drawing/2014/main" id="{00000000-0008-0000-0100-000008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29" name="Text 19">
          <a:extLst>
            <a:ext uri="{FF2B5EF4-FFF2-40B4-BE49-F238E27FC236}">
              <a16:creationId xmlns:a16="http://schemas.microsoft.com/office/drawing/2014/main" id="{00000000-0008-0000-0100-000009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30" name="Text 19">
          <a:extLst>
            <a:ext uri="{FF2B5EF4-FFF2-40B4-BE49-F238E27FC236}">
              <a16:creationId xmlns:a16="http://schemas.microsoft.com/office/drawing/2014/main" id="{00000000-0008-0000-0100-00000A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31" name="Text 19">
          <a:extLst>
            <a:ext uri="{FF2B5EF4-FFF2-40B4-BE49-F238E27FC236}">
              <a16:creationId xmlns:a16="http://schemas.microsoft.com/office/drawing/2014/main" id="{00000000-0008-0000-0100-00000B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32" name="Text 19">
          <a:extLst>
            <a:ext uri="{FF2B5EF4-FFF2-40B4-BE49-F238E27FC236}">
              <a16:creationId xmlns:a16="http://schemas.microsoft.com/office/drawing/2014/main" id="{00000000-0008-0000-0100-00000C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33" name="Text 19">
          <a:extLst>
            <a:ext uri="{FF2B5EF4-FFF2-40B4-BE49-F238E27FC236}">
              <a16:creationId xmlns:a16="http://schemas.microsoft.com/office/drawing/2014/main" id="{00000000-0008-0000-0100-00000D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34" name="Text 19">
          <a:extLst>
            <a:ext uri="{FF2B5EF4-FFF2-40B4-BE49-F238E27FC236}">
              <a16:creationId xmlns:a16="http://schemas.microsoft.com/office/drawing/2014/main" id="{00000000-0008-0000-0100-00000E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35" name="Text 19">
          <a:extLst>
            <a:ext uri="{FF2B5EF4-FFF2-40B4-BE49-F238E27FC236}">
              <a16:creationId xmlns:a16="http://schemas.microsoft.com/office/drawing/2014/main" id="{00000000-0008-0000-0100-00000F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36" name="Text 19">
          <a:extLst>
            <a:ext uri="{FF2B5EF4-FFF2-40B4-BE49-F238E27FC236}">
              <a16:creationId xmlns:a16="http://schemas.microsoft.com/office/drawing/2014/main" id="{00000000-0008-0000-0100-000010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37" name="Text 19">
          <a:extLst>
            <a:ext uri="{FF2B5EF4-FFF2-40B4-BE49-F238E27FC236}">
              <a16:creationId xmlns:a16="http://schemas.microsoft.com/office/drawing/2014/main" id="{00000000-0008-0000-0100-000011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38" name="Text 19">
          <a:extLst>
            <a:ext uri="{FF2B5EF4-FFF2-40B4-BE49-F238E27FC236}">
              <a16:creationId xmlns:a16="http://schemas.microsoft.com/office/drawing/2014/main" id="{00000000-0008-0000-0100-000012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39" name="Text 19">
          <a:extLst>
            <a:ext uri="{FF2B5EF4-FFF2-40B4-BE49-F238E27FC236}">
              <a16:creationId xmlns:a16="http://schemas.microsoft.com/office/drawing/2014/main" id="{00000000-0008-0000-0100-000013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40" name="Text 19">
          <a:extLst>
            <a:ext uri="{FF2B5EF4-FFF2-40B4-BE49-F238E27FC236}">
              <a16:creationId xmlns:a16="http://schemas.microsoft.com/office/drawing/2014/main" id="{00000000-0008-0000-0100-000014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41" name="Text 19">
          <a:extLst>
            <a:ext uri="{FF2B5EF4-FFF2-40B4-BE49-F238E27FC236}">
              <a16:creationId xmlns:a16="http://schemas.microsoft.com/office/drawing/2014/main" id="{00000000-0008-0000-0100-000015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42" name="Text 19">
          <a:extLst>
            <a:ext uri="{FF2B5EF4-FFF2-40B4-BE49-F238E27FC236}">
              <a16:creationId xmlns:a16="http://schemas.microsoft.com/office/drawing/2014/main" id="{00000000-0008-0000-0100-000016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43" name="Text 19">
          <a:extLst>
            <a:ext uri="{FF2B5EF4-FFF2-40B4-BE49-F238E27FC236}">
              <a16:creationId xmlns:a16="http://schemas.microsoft.com/office/drawing/2014/main" id="{00000000-0008-0000-0100-000017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44" name="Text 19">
          <a:extLst>
            <a:ext uri="{FF2B5EF4-FFF2-40B4-BE49-F238E27FC236}">
              <a16:creationId xmlns:a16="http://schemas.microsoft.com/office/drawing/2014/main" id="{00000000-0008-0000-0100-000018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45" name="Text 19">
          <a:extLst>
            <a:ext uri="{FF2B5EF4-FFF2-40B4-BE49-F238E27FC236}">
              <a16:creationId xmlns:a16="http://schemas.microsoft.com/office/drawing/2014/main" id="{00000000-0008-0000-0100-000019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46" name="Text 19">
          <a:extLst>
            <a:ext uri="{FF2B5EF4-FFF2-40B4-BE49-F238E27FC236}">
              <a16:creationId xmlns:a16="http://schemas.microsoft.com/office/drawing/2014/main" id="{00000000-0008-0000-0100-00001A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47" name="Text 19">
          <a:extLst>
            <a:ext uri="{FF2B5EF4-FFF2-40B4-BE49-F238E27FC236}">
              <a16:creationId xmlns:a16="http://schemas.microsoft.com/office/drawing/2014/main" id="{00000000-0008-0000-0100-00001B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48" name="Text 19">
          <a:extLst>
            <a:ext uri="{FF2B5EF4-FFF2-40B4-BE49-F238E27FC236}">
              <a16:creationId xmlns:a16="http://schemas.microsoft.com/office/drawing/2014/main" id="{00000000-0008-0000-0100-00001C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49" name="Text 19">
          <a:extLst>
            <a:ext uri="{FF2B5EF4-FFF2-40B4-BE49-F238E27FC236}">
              <a16:creationId xmlns:a16="http://schemas.microsoft.com/office/drawing/2014/main" id="{00000000-0008-0000-0100-00001D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50" name="Text 19">
          <a:extLst>
            <a:ext uri="{FF2B5EF4-FFF2-40B4-BE49-F238E27FC236}">
              <a16:creationId xmlns:a16="http://schemas.microsoft.com/office/drawing/2014/main" id="{00000000-0008-0000-0100-00001E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51" name="Text 19">
          <a:extLst>
            <a:ext uri="{FF2B5EF4-FFF2-40B4-BE49-F238E27FC236}">
              <a16:creationId xmlns:a16="http://schemas.microsoft.com/office/drawing/2014/main" id="{00000000-0008-0000-0100-00001F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52" name="Text 19">
          <a:extLst>
            <a:ext uri="{FF2B5EF4-FFF2-40B4-BE49-F238E27FC236}">
              <a16:creationId xmlns:a16="http://schemas.microsoft.com/office/drawing/2014/main" id="{00000000-0008-0000-0100-000020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53" name="Text 19">
          <a:extLst>
            <a:ext uri="{FF2B5EF4-FFF2-40B4-BE49-F238E27FC236}">
              <a16:creationId xmlns:a16="http://schemas.microsoft.com/office/drawing/2014/main" id="{00000000-0008-0000-0100-000021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54" name="Text 19">
          <a:extLst>
            <a:ext uri="{FF2B5EF4-FFF2-40B4-BE49-F238E27FC236}">
              <a16:creationId xmlns:a16="http://schemas.microsoft.com/office/drawing/2014/main" id="{00000000-0008-0000-0100-000022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55" name="Text 19">
          <a:extLst>
            <a:ext uri="{FF2B5EF4-FFF2-40B4-BE49-F238E27FC236}">
              <a16:creationId xmlns:a16="http://schemas.microsoft.com/office/drawing/2014/main" id="{00000000-0008-0000-0100-000023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56" name="Text 19">
          <a:extLst>
            <a:ext uri="{FF2B5EF4-FFF2-40B4-BE49-F238E27FC236}">
              <a16:creationId xmlns:a16="http://schemas.microsoft.com/office/drawing/2014/main" id="{00000000-0008-0000-0100-000024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57" name="Text 19">
          <a:extLst>
            <a:ext uri="{FF2B5EF4-FFF2-40B4-BE49-F238E27FC236}">
              <a16:creationId xmlns:a16="http://schemas.microsoft.com/office/drawing/2014/main" id="{00000000-0008-0000-0100-000025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58" name="Text 19">
          <a:extLst>
            <a:ext uri="{FF2B5EF4-FFF2-40B4-BE49-F238E27FC236}">
              <a16:creationId xmlns:a16="http://schemas.microsoft.com/office/drawing/2014/main" id="{00000000-0008-0000-0100-000026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59" name="Text 19">
          <a:extLst>
            <a:ext uri="{FF2B5EF4-FFF2-40B4-BE49-F238E27FC236}">
              <a16:creationId xmlns:a16="http://schemas.microsoft.com/office/drawing/2014/main" id="{00000000-0008-0000-0100-000027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60" name="Text 19">
          <a:extLst>
            <a:ext uri="{FF2B5EF4-FFF2-40B4-BE49-F238E27FC236}">
              <a16:creationId xmlns:a16="http://schemas.microsoft.com/office/drawing/2014/main" id="{00000000-0008-0000-0100-000028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61" name="Text 19">
          <a:extLst>
            <a:ext uri="{FF2B5EF4-FFF2-40B4-BE49-F238E27FC236}">
              <a16:creationId xmlns:a16="http://schemas.microsoft.com/office/drawing/2014/main" id="{00000000-0008-0000-0100-000029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62" name="Text 19">
          <a:extLst>
            <a:ext uri="{FF2B5EF4-FFF2-40B4-BE49-F238E27FC236}">
              <a16:creationId xmlns:a16="http://schemas.microsoft.com/office/drawing/2014/main" id="{00000000-0008-0000-0100-00002A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63" name="Text 19">
          <a:extLst>
            <a:ext uri="{FF2B5EF4-FFF2-40B4-BE49-F238E27FC236}">
              <a16:creationId xmlns:a16="http://schemas.microsoft.com/office/drawing/2014/main" id="{00000000-0008-0000-0100-00002B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64" name="Text 19">
          <a:extLst>
            <a:ext uri="{FF2B5EF4-FFF2-40B4-BE49-F238E27FC236}">
              <a16:creationId xmlns:a16="http://schemas.microsoft.com/office/drawing/2014/main" id="{00000000-0008-0000-0100-00002C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65" name="Text 19">
          <a:extLst>
            <a:ext uri="{FF2B5EF4-FFF2-40B4-BE49-F238E27FC236}">
              <a16:creationId xmlns:a16="http://schemas.microsoft.com/office/drawing/2014/main" id="{00000000-0008-0000-0100-00002D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66" name="Text 19">
          <a:extLst>
            <a:ext uri="{FF2B5EF4-FFF2-40B4-BE49-F238E27FC236}">
              <a16:creationId xmlns:a16="http://schemas.microsoft.com/office/drawing/2014/main" id="{00000000-0008-0000-0100-00002E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67" name="Text 19">
          <a:extLst>
            <a:ext uri="{FF2B5EF4-FFF2-40B4-BE49-F238E27FC236}">
              <a16:creationId xmlns:a16="http://schemas.microsoft.com/office/drawing/2014/main" id="{00000000-0008-0000-0100-00002F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68" name="Text 19">
          <a:extLst>
            <a:ext uri="{FF2B5EF4-FFF2-40B4-BE49-F238E27FC236}">
              <a16:creationId xmlns:a16="http://schemas.microsoft.com/office/drawing/2014/main" id="{00000000-0008-0000-0100-000030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69" name="Text 19">
          <a:extLst>
            <a:ext uri="{FF2B5EF4-FFF2-40B4-BE49-F238E27FC236}">
              <a16:creationId xmlns:a16="http://schemas.microsoft.com/office/drawing/2014/main" id="{00000000-0008-0000-0100-000031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70" name="Text 19">
          <a:extLst>
            <a:ext uri="{FF2B5EF4-FFF2-40B4-BE49-F238E27FC236}">
              <a16:creationId xmlns:a16="http://schemas.microsoft.com/office/drawing/2014/main" id="{00000000-0008-0000-0100-000032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71" name="Text 19">
          <a:extLst>
            <a:ext uri="{FF2B5EF4-FFF2-40B4-BE49-F238E27FC236}">
              <a16:creationId xmlns:a16="http://schemas.microsoft.com/office/drawing/2014/main" id="{00000000-0008-0000-0100-000033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72" name="Text 19">
          <a:extLst>
            <a:ext uri="{FF2B5EF4-FFF2-40B4-BE49-F238E27FC236}">
              <a16:creationId xmlns:a16="http://schemas.microsoft.com/office/drawing/2014/main" id="{00000000-0008-0000-0100-000034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73" name="Text 19">
          <a:extLst>
            <a:ext uri="{FF2B5EF4-FFF2-40B4-BE49-F238E27FC236}">
              <a16:creationId xmlns:a16="http://schemas.microsoft.com/office/drawing/2014/main" id="{00000000-0008-0000-0100-000035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74" name="Text 19">
          <a:extLst>
            <a:ext uri="{FF2B5EF4-FFF2-40B4-BE49-F238E27FC236}">
              <a16:creationId xmlns:a16="http://schemas.microsoft.com/office/drawing/2014/main" id="{00000000-0008-0000-0100-000036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75" name="Text 19">
          <a:extLst>
            <a:ext uri="{FF2B5EF4-FFF2-40B4-BE49-F238E27FC236}">
              <a16:creationId xmlns:a16="http://schemas.microsoft.com/office/drawing/2014/main" id="{00000000-0008-0000-0100-000037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76" name="Text 19">
          <a:extLst>
            <a:ext uri="{FF2B5EF4-FFF2-40B4-BE49-F238E27FC236}">
              <a16:creationId xmlns:a16="http://schemas.microsoft.com/office/drawing/2014/main" id="{00000000-0008-0000-0100-000038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77" name="Text 19">
          <a:extLst>
            <a:ext uri="{FF2B5EF4-FFF2-40B4-BE49-F238E27FC236}">
              <a16:creationId xmlns:a16="http://schemas.microsoft.com/office/drawing/2014/main" id="{00000000-0008-0000-0100-000039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78" name="Text 19">
          <a:extLst>
            <a:ext uri="{FF2B5EF4-FFF2-40B4-BE49-F238E27FC236}">
              <a16:creationId xmlns:a16="http://schemas.microsoft.com/office/drawing/2014/main" id="{00000000-0008-0000-0100-00003A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79" name="Text 19">
          <a:extLst>
            <a:ext uri="{FF2B5EF4-FFF2-40B4-BE49-F238E27FC236}">
              <a16:creationId xmlns:a16="http://schemas.microsoft.com/office/drawing/2014/main" id="{00000000-0008-0000-0100-00003B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80" name="Text 19">
          <a:extLst>
            <a:ext uri="{FF2B5EF4-FFF2-40B4-BE49-F238E27FC236}">
              <a16:creationId xmlns:a16="http://schemas.microsoft.com/office/drawing/2014/main" id="{00000000-0008-0000-0100-00003C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81" name="Text 19">
          <a:extLst>
            <a:ext uri="{FF2B5EF4-FFF2-40B4-BE49-F238E27FC236}">
              <a16:creationId xmlns:a16="http://schemas.microsoft.com/office/drawing/2014/main" id="{00000000-0008-0000-0100-00003D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82" name="Text 19">
          <a:extLst>
            <a:ext uri="{FF2B5EF4-FFF2-40B4-BE49-F238E27FC236}">
              <a16:creationId xmlns:a16="http://schemas.microsoft.com/office/drawing/2014/main" id="{00000000-0008-0000-0100-00003E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83" name="Text 19">
          <a:extLst>
            <a:ext uri="{FF2B5EF4-FFF2-40B4-BE49-F238E27FC236}">
              <a16:creationId xmlns:a16="http://schemas.microsoft.com/office/drawing/2014/main" id="{00000000-0008-0000-0100-00003F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84" name="Text 19">
          <a:extLst>
            <a:ext uri="{FF2B5EF4-FFF2-40B4-BE49-F238E27FC236}">
              <a16:creationId xmlns:a16="http://schemas.microsoft.com/office/drawing/2014/main" id="{00000000-0008-0000-0100-000040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85" name="Text 19">
          <a:extLst>
            <a:ext uri="{FF2B5EF4-FFF2-40B4-BE49-F238E27FC236}">
              <a16:creationId xmlns:a16="http://schemas.microsoft.com/office/drawing/2014/main" id="{00000000-0008-0000-0100-000041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86" name="Text 19">
          <a:extLst>
            <a:ext uri="{FF2B5EF4-FFF2-40B4-BE49-F238E27FC236}">
              <a16:creationId xmlns:a16="http://schemas.microsoft.com/office/drawing/2014/main" id="{00000000-0008-0000-0100-000042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87" name="Text 19">
          <a:extLst>
            <a:ext uri="{FF2B5EF4-FFF2-40B4-BE49-F238E27FC236}">
              <a16:creationId xmlns:a16="http://schemas.microsoft.com/office/drawing/2014/main" id="{00000000-0008-0000-0100-000043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88" name="Text 19">
          <a:extLst>
            <a:ext uri="{FF2B5EF4-FFF2-40B4-BE49-F238E27FC236}">
              <a16:creationId xmlns:a16="http://schemas.microsoft.com/office/drawing/2014/main" id="{00000000-0008-0000-0100-000044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89" name="Text 19">
          <a:extLst>
            <a:ext uri="{FF2B5EF4-FFF2-40B4-BE49-F238E27FC236}">
              <a16:creationId xmlns:a16="http://schemas.microsoft.com/office/drawing/2014/main" id="{00000000-0008-0000-0100-000045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90" name="Text 19">
          <a:extLst>
            <a:ext uri="{FF2B5EF4-FFF2-40B4-BE49-F238E27FC236}">
              <a16:creationId xmlns:a16="http://schemas.microsoft.com/office/drawing/2014/main" id="{00000000-0008-0000-0100-000046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91" name="Text 19">
          <a:extLst>
            <a:ext uri="{FF2B5EF4-FFF2-40B4-BE49-F238E27FC236}">
              <a16:creationId xmlns:a16="http://schemas.microsoft.com/office/drawing/2014/main" id="{00000000-0008-0000-0100-000047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92" name="Text 19">
          <a:extLst>
            <a:ext uri="{FF2B5EF4-FFF2-40B4-BE49-F238E27FC236}">
              <a16:creationId xmlns:a16="http://schemas.microsoft.com/office/drawing/2014/main" id="{00000000-0008-0000-0100-000048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93" name="Text 19">
          <a:extLst>
            <a:ext uri="{FF2B5EF4-FFF2-40B4-BE49-F238E27FC236}">
              <a16:creationId xmlns:a16="http://schemas.microsoft.com/office/drawing/2014/main" id="{00000000-0008-0000-0100-000049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94" name="Text 19">
          <a:extLst>
            <a:ext uri="{FF2B5EF4-FFF2-40B4-BE49-F238E27FC236}">
              <a16:creationId xmlns:a16="http://schemas.microsoft.com/office/drawing/2014/main" id="{00000000-0008-0000-0100-00004A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95" name="Text 19">
          <a:extLst>
            <a:ext uri="{FF2B5EF4-FFF2-40B4-BE49-F238E27FC236}">
              <a16:creationId xmlns:a16="http://schemas.microsoft.com/office/drawing/2014/main" id="{00000000-0008-0000-0100-00004B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96" name="Text 19">
          <a:extLst>
            <a:ext uri="{FF2B5EF4-FFF2-40B4-BE49-F238E27FC236}">
              <a16:creationId xmlns:a16="http://schemas.microsoft.com/office/drawing/2014/main" id="{00000000-0008-0000-0100-00004C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97" name="Text 19">
          <a:extLst>
            <a:ext uri="{FF2B5EF4-FFF2-40B4-BE49-F238E27FC236}">
              <a16:creationId xmlns:a16="http://schemas.microsoft.com/office/drawing/2014/main" id="{00000000-0008-0000-0100-00004D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98" name="Text 19">
          <a:extLst>
            <a:ext uri="{FF2B5EF4-FFF2-40B4-BE49-F238E27FC236}">
              <a16:creationId xmlns:a16="http://schemas.microsoft.com/office/drawing/2014/main" id="{00000000-0008-0000-0100-00004E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599" name="Text 19">
          <a:extLst>
            <a:ext uri="{FF2B5EF4-FFF2-40B4-BE49-F238E27FC236}">
              <a16:creationId xmlns:a16="http://schemas.microsoft.com/office/drawing/2014/main" id="{00000000-0008-0000-0100-00004F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00" name="Text 19">
          <a:extLst>
            <a:ext uri="{FF2B5EF4-FFF2-40B4-BE49-F238E27FC236}">
              <a16:creationId xmlns:a16="http://schemas.microsoft.com/office/drawing/2014/main" id="{00000000-0008-0000-0100-000050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01" name="Text 19">
          <a:extLst>
            <a:ext uri="{FF2B5EF4-FFF2-40B4-BE49-F238E27FC236}">
              <a16:creationId xmlns:a16="http://schemas.microsoft.com/office/drawing/2014/main" id="{00000000-0008-0000-0100-000051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02" name="Text 19">
          <a:extLst>
            <a:ext uri="{FF2B5EF4-FFF2-40B4-BE49-F238E27FC236}">
              <a16:creationId xmlns:a16="http://schemas.microsoft.com/office/drawing/2014/main" id="{00000000-0008-0000-0100-000052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03" name="Text 19">
          <a:extLst>
            <a:ext uri="{FF2B5EF4-FFF2-40B4-BE49-F238E27FC236}">
              <a16:creationId xmlns:a16="http://schemas.microsoft.com/office/drawing/2014/main" id="{00000000-0008-0000-0100-000053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04" name="Text 19">
          <a:extLst>
            <a:ext uri="{FF2B5EF4-FFF2-40B4-BE49-F238E27FC236}">
              <a16:creationId xmlns:a16="http://schemas.microsoft.com/office/drawing/2014/main" id="{00000000-0008-0000-0100-000054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05" name="Text 19">
          <a:extLst>
            <a:ext uri="{FF2B5EF4-FFF2-40B4-BE49-F238E27FC236}">
              <a16:creationId xmlns:a16="http://schemas.microsoft.com/office/drawing/2014/main" id="{00000000-0008-0000-0100-000055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06" name="Text 19">
          <a:extLst>
            <a:ext uri="{FF2B5EF4-FFF2-40B4-BE49-F238E27FC236}">
              <a16:creationId xmlns:a16="http://schemas.microsoft.com/office/drawing/2014/main" id="{00000000-0008-0000-0100-000056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07" name="Text 19">
          <a:extLst>
            <a:ext uri="{FF2B5EF4-FFF2-40B4-BE49-F238E27FC236}">
              <a16:creationId xmlns:a16="http://schemas.microsoft.com/office/drawing/2014/main" id="{00000000-0008-0000-0100-000057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08" name="Text 19">
          <a:extLst>
            <a:ext uri="{FF2B5EF4-FFF2-40B4-BE49-F238E27FC236}">
              <a16:creationId xmlns:a16="http://schemas.microsoft.com/office/drawing/2014/main" id="{00000000-0008-0000-0100-000058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09" name="Text 19">
          <a:extLst>
            <a:ext uri="{FF2B5EF4-FFF2-40B4-BE49-F238E27FC236}">
              <a16:creationId xmlns:a16="http://schemas.microsoft.com/office/drawing/2014/main" id="{00000000-0008-0000-0100-000059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10" name="Text 19">
          <a:extLst>
            <a:ext uri="{FF2B5EF4-FFF2-40B4-BE49-F238E27FC236}">
              <a16:creationId xmlns:a16="http://schemas.microsoft.com/office/drawing/2014/main" id="{00000000-0008-0000-0100-00005A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11" name="Text 19">
          <a:extLst>
            <a:ext uri="{FF2B5EF4-FFF2-40B4-BE49-F238E27FC236}">
              <a16:creationId xmlns:a16="http://schemas.microsoft.com/office/drawing/2014/main" id="{00000000-0008-0000-0100-00005B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12" name="Text 19">
          <a:extLst>
            <a:ext uri="{FF2B5EF4-FFF2-40B4-BE49-F238E27FC236}">
              <a16:creationId xmlns:a16="http://schemas.microsoft.com/office/drawing/2014/main" id="{00000000-0008-0000-0100-00005C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13" name="Text 19">
          <a:extLst>
            <a:ext uri="{FF2B5EF4-FFF2-40B4-BE49-F238E27FC236}">
              <a16:creationId xmlns:a16="http://schemas.microsoft.com/office/drawing/2014/main" id="{00000000-0008-0000-0100-00005D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14" name="Text 19">
          <a:extLst>
            <a:ext uri="{FF2B5EF4-FFF2-40B4-BE49-F238E27FC236}">
              <a16:creationId xmlns:a16="http://schemas.microsoft.com/office/drawing/2014/main" id="{00000000-0008-0000-0100-00005E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15" name="Text 19">
          <a:extLst>
            <a:ext uri="{FF2B5EF4-FFF2-40B4-BE49-F238E27FC236}">
              <a16:creationId xmlns:a16="http://schemas.microsoft.com/office/drawing/2014/main" id="{00000000-0008-0000-0100-00005F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16" name="Text 19">
          <a:extLst>
            <a:ext uri="{FF2B5EF4-FFF2-40B4-BE49-F238E27FC236}">
              <a16:creationId xmlns:a16="http://schemas.microsoft.com/office/drawing/2014/main" id="{00000000-0008-0000-0100-000060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17" name="Text 19">
          <a:extLst>
            <a:ext uri="{FF2B5EF4-FFF2-40B4-BE49-F238E27FC236}">
              <a16:creationId xmlns:a16="http://schemas.microsoft.com/office/drawing/2014/main" id="{00000000-0008-0000-0100-000061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18" name="Text 19">
          <a:extLst>
            <a:ext uri="{FF2B5EF4-FFF2-40B4-BE49-F238E27FC236}">
              <a16:creationId xmlns:a16="http://schemas.microsoft.com/office/drawing/2014/main" id="{00000000-0008-0000-0100-000062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19" name="Text 19">
          <a:extLst>
            <a:ext uri="{FF2B5EF4-FFF2-40B4-BE49-F238E27FC236}">
              <a16:creationId xmlns:a16="http://schemas.microsoft.com/office/drawing/2014/main" id="{00000000-0008-0000-0100-000063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20" name="Text 19">
          <a:extLst>
            <a:ext uri="{FF2B5EF4-FFF2-40B4-BE49-F238E27FC236}">
              <a16:creationId xmlns:a16="http://schemas.microsoft.com/office/drawing/2014/main" id="{00000000-0008-0000-0100-000064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21" name="Text 19">
          <a:extLst>
            <a:ext uri="{FF2B5EF4-FFF2-40B4-BE49-F238E27FC236}">
              <a16:creationId xmlns:a16="http://schemas.microsoft.com/office/drawing/2014/main" id="{00000000-0008-0000-0100-000065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22" name="Text 19">
          <a:extLst>
            <a:ext uri="{FF2B5EF4-FFF2-40B4-BE49-F238E27FC236}">
              <a16:creationId xmlns:a16="http://schemas.microsoft.com/office/drawing/2014/main" id="{00000000-0008-0000-0100-000066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23" name="Text 19">
          <a:extLst>
            <a:ext uri="{FF2B5EF4-FFF2-40B4-BE49-F238E27FC236}">
              <a16:creationId xmlns:a16="http://schemas.microsoft.com/office/drawing/2014/main" id="{00000000-0008-0000-0100-000067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24" name="Text 19">
          <a:extLst>
            <a:ext uri="{FF2B5EF4-FFF2-40B4-BE49-F238E27FC236}">
              <a16:creationId xmlns:a16="http://schemas.microsoft.com/office/drawing/2014/main" id="{00000000-0008-0000-0100-000068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25" name="Text 19">
          <a:extLst>
            <a:ext uri="{FF2B5EF4-FFF2-40B4-BE49-F238E27FC236}">
              <a16:creationId xmlns:a16="http://schemas.microsoft.com/office/drawing/2014/main" id="{00000000-0008-0000-0100-000069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26" name="Text 19">
          <a:extLst>
            <a:ext uri="{FF2B5EF4-FFF2-40B4-BE49-F238E27FC236}">
              <a16:creationId xmlns:a16="http://schemas.microsoft.com/office/drawing/2014/main" id="{00000000-0008-0000-0100-00006A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27" name="Text 19">
          <a:extLst>
            <a:ext uri="{FF2B5EF4-FFF2-40B4-BE49-F238E27FC236}">
              <a16:creationId xmlns:a16="http://schemas.microsoft.com/office/drawing/2014/main" id="{00000000-0008-0000-0100-00006B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28" name="Text 19">
          <a:extLst>
            <a:ext uri="{FF2B5EF4-FFF2-40B4-BE49-F238E27FC236}">
              <a16:creationId xmlns:a16="http://schemas.microsoft.com/office/drawing/2014/main" id="{00000000-0008-0000-0100-00006C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29" name="Text 19">
          <a:extLst>
            <a:ext uri="{FF2B5EF4-FFF2-40B4-BE49-F238E27FC236}">
              <a16:creationId xmlns:a16="http://schemas.microsoft.com/office/drawing/2014/main" id="{00000000-0008-0000-0100-00006D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30" name="Text 19">
          <a:extLst>
            <a:ext uri="{FF2B5EF4-FFF2-40B4-BE49-F238E27FC236}">
              <a16:creationId xmlns:a16="http://schemas.microsoft.com/office/drawing/2014/main" id="{00000000-0008-0000-0100-00006E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31" name="Text 19">
          <a:extLst>
            <a:ext uri="{FF2B5EF4-FFF2-40B4-BE49-F238E27FC236}">
              <a16:creationId xmlns:a16="http://schemas.microsoft.com/office/drawing/2014/main" id="{00000000-0008-0000-0100-00006F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32" name="Text 19">
          <a:extLst>
            <a:ext uri="{FF2B5EF4-FFF2-40B4-BE49-F238E27FC236}">
              <a16:creationId xmlns:a16="http://schemas.microsoft.com/office/drawing/2014/main" id="{00000000-0008-0000-0100-000070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33" name="Text 19">
          <a:extLst>
            <a:ext uri="{FF2B5EF4-FFF2-40B4-BE49-F238E27FC236}">
              <a16:creationId xmlns:a16="http://schemas.microsoft.com/office/drawing/2014/main" id="{00000000-0008-0000-0100-000071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34" name="Text 19">
          <a:extLst>
            <a:ext uri="{FF2B5EF4-FFF2-40B4-BE49-F238E27FC236}">
              <a16:creationId xmlns:a16="http://schemas.microsoft.com/office/drawing/2014/main" id="{00000000-0008-0000-0100-000072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35" name="Text 19">
          <a:extLst>
            <a:ext uri="{FF2B5EF4-FFF2-40B4-BE49-F238E27FC236}">
              <a16:creationId xmlns:a16="http://schemas.microsoft.com/office/drawing/2014/main" id="{00000000-0008-0000-0100-000073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36" name="Text 19">
          <a:extLst>
            <a:ext uri="{FF2B5EF4-FFF2-40B4-BE49-F238E27FC236}">
              <a16:creationId xmlns:a16="http://schemas.microsoft.com/office/drawing/2014/main" id="{00000000-0008-0000-0100-000074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37" name="Text 19">
          <a:extLst>
            <a:ext uri="{FF2B5EF4-FFF2-40B4-BE49-F238E27FC236}">
              <a16:creationId xmlns:a16="http://schemas.microsoft.com/office/drawing/2014/main" id="{00000000-0008-0000-0100-000075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38" name="Text 19">
          <a:extLst>
            <a:ext uri="{FF2B5EF4-FFF2-40B4-BE49-F238E27FC236}">
              <a16:creationId xmlns:a16="http://schemas.microsoft.com/office/drawing/2014/main" id="{00000000-0008-0000-0100-000076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39" name="Text 19">
          <a:extLst>
            <a:ext uri="{FF2B5EF4-FFF2-40B4-BE49-F238E27FC236}">
              <a16:creationId xmlns:a16="http://schemas.microsoft.com/office/drawing/2014/main" id="{00000000-0008-0000-0100-000077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40" name="Text 19">
          <a:extLst>
            <a:ext uri="{FF2B5EF4-FFF2-40B4-BE49-F238E27FC236}">
              <a16:creationId xmlns:a16="http://schemas.microsoft.com/office/drawing/2014/main" id="{00000000-0008-0000-0100-000078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41" name="Text 19">
          <a:extLst>
            <a:ext uri="{FF2B5EF4-FFF2-40B4-BE49-F238E27FC236}">
              <a16:creationId xmlns:a16="http://schemas.microsoft.com/office/drawing/2014/main" id="{00000000-0008-0000-0100-000079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42" name="Text 19">
          <a:extLst>
            <a:ext uri="{FF2B5EF4-FFF2-40B4-BE49-F238E27FC236}">
              <a16:creationId xmlns:a16="http://schemas.microsoft.com/office/drawing/2014/main" id="{00000000-0008-0000-0100-00007A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43" name="Text 19">
          <a:extLst>
            <a:ext uri="{FF2B5EF4-FFF2-40B4-BE49-F238E27FC236}">
              <a16:creationId xmlns:a16="http://schemas.microsoft.com/office/drawing/2014/main" id="{00000000-0008-0000-0100-00007B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44" name="Text 19">
          <a:extLst>
            <a:ext uri="{FF2B5EF4-FFF2-40B4-BE49-F238E27FC236}">
              <a16:creationId xmlns:a16="http://schemas.microsoft.com/office/drawing/2014/main" id="{00000000-0008-0000-0100-00007C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45" name="Text 19">
          <a:extLst>
            <a:ext uri="{FF2B5EF4-FFF2-40B4-BE49-F238E27FC236}">
              <a16:creationId xmlns:a16="http://schemas.microsoft.com/office/drawing/2014/main" id="{00000000-0008-0000-0100-00007D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46" name="Text 19">
          <a:extLst>
            <a:ext uri="{FF2B5EF4-FFF2-40B4-BE49-F238E27FC236}">
              <a16:creationId xmlns:a16="http://schemas.microsoft.com/office/drawing/2014/main" id="{00000000-0008-0000-0100-00007E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47" name="Text 19">
          <a:extLst>
            <a:ext uri="{FF2B5EF4-FFF2-40B4-BE49-F238E27FC236}">
              <a16:creationId xmlns:a16="http://schemas.microsoft.com/office/drawing/2014/main" id="{00000000-0008-0000-0100-00007F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48" name="Text 19">
          <a:extLst>
            <a:ext uri="{FF2B5EF4-FFF2-40B4-BE49-F238E27FC236}">
              <a16:creationId xmlns:a16="http://schemas.microsoft.com/office/drawing/2014/main" id="{00000000-0008-0000-0100-000080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49" name="Text 19">
          <a:extLst>
            <a:ext uri="{FF2B5EF4-FFF2-40B4-BE49-F238E27FC236}">
              <a16:creationId xmlns:a16="http://schemas.microsoft.com/office/drawing/2014/main" id="{00000000-0008-0000-0100-000081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50" name="Text 19">
          <a:extLst>
            <a:ext uri="{FF2B5EF4-FFF2-40B4-BE49-F238E27FC236}">
              <a16:creationId xmlns:a16="http://schemas.microsoft.com/office/drawing/2014/main" id="{00000000-0008-0000-0100-000082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51" name="Text 19">
          <a:extLst>
            <a:ext uri="{FF2B5EF4-FFF2-40B4-BE49-F238E27FC236}">
              <a16:creationId xmlns:a16="http://schemas.microsoft.com/office/drawing/2014/main" id="{00000000-0008-0000-0100-000083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52" name="Text 19">
          <a:extLst>
            <a:ext uri="{FF2B5EF4-FFF2-40B4-BE49-F238E27FC236}">
              <a16:creationId xmlns:a16="http://schemas.microsoft.com/office/drawing/2014/main" id="{00000000-0008-0000-0100-000084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53" name="Text 19">
          <a:extLst>
            <a:ext uri="{FF2B5EF4-FFF2-40B4-BE49-F238E27FC236}">
              <a16:creationId xmlns:a16="http://schemas.microsoft.com/office/drawing/2014/main" id="{00000000-0008-0000-0100-000085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54" name="Text 19">
          <a:extLst>
            <a:ext uri="{FF2B5EF4-FFF2-40B4-BE49-F238E27FC236}">
              <a16:creationId xmlns:a16="http://schemas.microsoft.com/office/drawing/2014/main" id="{00000000-0008-0000-0100-000086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55" name="Text 19">
          <a:extLst>
            <a:ext uri="{FF2B5EF4-FFF2-40B4-BE49-F238E27FC236}">
              <a16:creationId xmlns:a16="http://schemas.microsoft.com/office/drawing/2014/main" id="{00000000-0008-0000-0100-000087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56" name="Text 19">
          <a:extLst>
            <a:ext uri="{FF2B5EF4-FFF2-40B4-BE49-F238E27FC236}">
              <a16:creationId xmlns:a16="http://schemas.microsoft.com/office/drawing/2014/main" id="{00000000-0008-0000-0100-000088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57" name="Text 19">
          <a:extLst>
            <a:ext uri="{FF2B5EF4-FFF2-40B4-BE49-F238E27FC236}">
              <a16:creationId xmlns:a16="http://schemas.microsoft.com/office/drawing/2014/main" id="{00000000-0008-0000-0100-000089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58" name="Text 19">
          <a:extLst>
            <a:ext uri="{FF2B5EF4-FFF2-40B4-BE49-F238E27FC236}">
              <a16:creationId xmlns:a16="http://schemas.microsoft.com/office/drawing/2014/main" id="{00000000-0008-0000-0100-00008A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59" name="Text 19">
          <a:extLst>
            <a:ext uri="{FF2B5EF4-FFF2-40B4-BE49-F238E27FC236}">
              <a16:creationId xmlns:a16="http://schemas.microsoft.com/office/drawing/2014/main" id="{00000000-0008-0000-0100-00008B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60" name="Text 19">
          <a:extLst>
            <a:ext uri="{FF2B5EF4-FFF2-40B4-BE49-F238E27FC236}">
              <a16:creationId xmlns:a16="http://schemas.microsoft.com/office/drawing/2014/main" id="{00000000-0008-0000-0100-00008C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61" name="Text 19">
          <a:extLst>
            <a:ext uri="{FF2B5EF4-FFF2-40B4-BE49-F238E27FC236}">
              <a16:creationId xmlns:a16="http://schemas.microsoft.com/office/drawing/2014/main" id="{00000000-0008-0000-0100-00008D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62" name="Text 19">
          <a:extLst>
            <a:ext uri="{FF2B5EF4-FFF2-40B4-BE49-F238E27FC236}">
              <a16:creationId xmlns:a16="http://schemas.microsoft.com/office/drawing/2014/main" id="{00000000-0008-0000-0100-00008E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63" name="Text 19">
          <a:extLst>
            <a:ext uri="{FF2B5EF4-FFF2-40B4-BE49-F238E27FC236}">
              <a16:creationId xmlns:a16="http://schemas.microsoft.com/office/drawing/2014/main" id="{00000000-0008-0000-0100-00008F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64" name="Text 19">
          <a:extLst>
            <a:ext uri="{FF2B5EF4-FFF2-40B4-BE49-F238E27FC236}">
              <a16:creationId xmlns:a16="http://schemas.microsoft.com/office/drawing/2014/main" id="{00000000-0008-0000-0100-000090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65" name="Text 19">
          <a:extLst>
            <a:ext uri="{FF2B5EF4-FFF2-40B4-BE49-F238E27FC236}">
              <a16:creationId xmlns:a16="http://schemas.microsoft.com/office/drawing/2014/main" id="{00000000-0008-0000-0100-000091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66" name="Text 19">
          <a:extLst>
            <a:ext uri="{FF2B5EF4-FFF2-40B4-BE49-F238E27FC236}">
              <a16:creationId xmlns:a16="http://schemas.microsoft.com/office/drawing/2014/main" id="{00000000-0008-0000-0100-000092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67" name="Text 19">
          <a:extLst>
            <a:ext uri="{FF2B5EF4-FFF2-40B4-BE49-F238E27FC236}">
              <a16:creationId xmlns:a16="http://schemas.microsoft.com/office/drawing/2014/main" id="{00000000-0008-0000-0100-000093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68" name="Text 19">
          <a:extLst>
            <a:ext uri="{FF2B5EF4-FFF2-40B4-BE49-F238E27FC236}">
              <a16:creationId xmlns:a16="http://schemas.microsoft.com/office/drawing/2014/main" id="{00000000-0008-0000-0100-000094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69" name="Text 19">
          <a:extLst>
            <a:ext uri="{FF2B5EF4-FFF2-40B4-BE49-F238E27FC236}">
              <a16:creationId xmlns:a16="http://schemas.microsoft.com/office/drawing/2014/main" id="{00000000-0008-0000-0100-000095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70" name="Text 19">
          <a:extLst>
            <a:ext uri="{FF2B5EF4-FFF2-40B4-BE49-F238E27FC236}">
              <a16:creationId xmlns:a16="http://schemas.microsoft.com/office/drawing/2014/main" id="{00000000-0008-0000-0100-000096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71" name="Text 19">
          <a:extLst>
            <a:ext uri="{FF2B5EF4-FFF2-40B4-BE49-F238E27FC236}">
              <a16:creationId xmlns:a16="http://schemas.microsoft.com/office/drawing/2014/main" id="{00000000-0008-0000-0100-000097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72" name="Text 19">
          <a:extLst>
            <a:ext uri="{FF2B5EF4-FFF2-40B4-BE49-F238E27FC236}">
              <a16:creationId xmlns:a16="http://schemas.microsoft.com/office/drawing/2014/main" id="{00000000-0008-0000-0100-000098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73" name="Text 19">
          <a:extLst>
            <a:ext uri="{FF2B5EF4-FFF2-40B4-BE49-F238E27FC236}">
              <a16:creationId xmlns:a16="http://schemas.microsoft.com/office/drawing/2014/main" id="{00000000-0008-0000-0100-000099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74" name="Text 19">
          <a:extLst>
            <a:ext uri="{FF2B5EF4-FFF2-40B4-BE49-F238E27FC236}">
              <a16:creationId xmlns:a16="http://schemas.microsoft.com/office/drawing/2014/main" id="{00000000-0008-0000-0100-00009A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75" name="Text 19">
          <a:extLst>
            <a:ext uri="{FF2B5EF4-FFF2-40B4-BE49-F238E27FC236}">
              <a16:creationId xmlns:a16="http://schemas.microsoft.com/office/drawing/2014/main" id="{00000000-0008-0000-0100-00009B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76" name="Text 19">
          <a:extLst>
            <a:ext uri="{FF2B5EF4-FFF2-40B4-BE49-F238E27FC236}">
              <a16:creationId xmlns:a16="http://schemas.microsoft.com/office/drawing/2014/main" id="{00000000-0008-0000-0100-00009C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77" name="Text 19">
          <a:extLst>
            <a:ext uri="{FF2B5EF4-FFF2-40B4-BE49-F238E27FC236}">
              <a16:creationId xmlns:a16="http://schemas.microsoft.com/office/drawing/2014/main" id="{00000000-0008-0000-0100-00009D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78" name="Text 19">
          <a:extLst>
            <a:ext uri="{FF2B5EF4-FFF2-40B4-BE49-F238E27FC236}">
              <a16:creationId xmlns:a16="http://schemas.microsoft.com/office/drawing/2014/main" id="{00000000-0008-0000-0100-00009E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79" name="Text 19">
          <a:extLst>
            <a:ext uri="{FF2B5EF4-FFF2-40B4-BE49-F238E27FC236}">
              <a16:creationId xmlns:a16="http://schemas.microsoft.com/office/drawing/2014/main" id="{00000000-0008-0000-0100-00009F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200025</xdr:colOff>
      <xdr:row>198</xdr:row>
      <xdr:rowOff>0</xdr:rowOff>
    </xdr:from>
    <xdr:to>
      <xdr:col>3</xdr:col>
      <xdr:colOff>94353</xdr:colOff>
      <xdr:row>198</xdr:row>
      <xdr:rowOff>22795</xdr:rowOff>
    </xdr:to>
    <xdr:sp macro="" textlink="">
      <xdr:nvSpPr>
        <xdr:cNvPr id="11680" name="Text 19">
          <a:extLst>
            <a:ext uri="{FF2B5EF4-FFF2-40B4-BE49-F238E27FC236}">
              <a16:creationId xmlns:a16="http://schemas.microsoft.com/office/drawing/2014/main" id="{00000000-0008-0000-0100-0000A02D0000}"/>
            </a:ext>
          </a:extLst>
        </xdr:cNvPr>
        <xdr:cNvSpPr txBox="1">
          <a:spLocks noChangeArrowheads="1"/>
        </xdr:cNvSpPr>
      </xdr:nvSpPr>
      <xdr:spPr bwMode="auto">
        <a:xfrm>
          <a:off x="4562475" y="99936300"/>
          <a:ext cx="3524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FAD6B1C\GOA_ARPT_SUBSTNDG_JUSTIFIED%20EST_160709(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Volumes\Macintosh%20HD%202\D%20DRIVE\DRIVE\keshav\SCHOOL%20IN%20GURGAON\DOCUMENTS\PLUMBING%20&amp;%20FIRE%20FIGHTING\Himanshu\SHERATON@CHANDIGARH\Mamta\NCPA\DG\GOA_ARPT_SUBSTNDG_EST_090609(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imanshu\PARYAVARAN_BHAWAN\GOA_ARPT_ELECT_INTERNAL_E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Volumes\Macintosh%20HD%202\D%20DRIVE\DRIVE\keshav\SCHOOL%20IN%20GURGAON\DOCUMENTS\PLUMBING%20&amp;%20FIRE%20FIGHTING\Himanshu\SHERATON@CHANDIGARH\Documents%20and%20Settings\mamta.SPECTRAL\Desktop\GOA_ARPT_ELECT_INTERNAL_ES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160;\UNMICRC%2010.08.16\UMIRC_20-07-2016\21.7.2016%20tilak%20-%201-22.7.2016\UNMICRC%20BOQ%20_revised%20-2_21.7.201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allavi\d\SAI\M.%20P.%20HALL\CIVI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allavi\d\SAI\M.%20P.%20HALL\ELECTRI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imanshu\PARYAVARAN_BHAWAN\Documents%20and%20Settings\hiamashu%20ojha\Local%20Settings\Temporary%20Internet%20Files\OLK17\Indore%20Airpot-21.01.09\Bharat-Revised%20Enquire%20of%20Indore%20Airpot-26.03.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C"/>
      <sheetName val="RISING MAINS"/>
      <sheetName val="LAYING OF CABLE"/>
      <sheetName val="cable termination"/>
      <sheetName val="PT_WIRING &amp; raceway"/>
      <sheetName val="cable tray"/>
      <sheetName val="EST"/>
      <sheetName val="Summary"/>
      <sheetName val="labour rates"/>
      <sheetName val="LIGHTINING"/>
      <sheetName val="CAB-Cu"/>
      <sheetName val="cab-Al"/>
      <sheetName val="EXTERNAL &amp; HDPE Pipe"/>
      <sheetName val="LIGHT FIXTURE"/>
      <sheetName val="DB"/>
      <sheetName val="LT-PANEL"/>
      <sheetName val="Lift"/>
      <sheetName val="UPS"/>
      <sheetName val="LT Panel Summary"/>
      <sheetName val="Cos"/>
      <sheetName val="R2"/>
      <sheetName val="Sheet3"/>
      <sheetName val="GR.slab-reinft"/>
      <sheetName val="Sheet2"/>
      <sheetName val="AOR"/>
      <sheetName val="macros"/>
      <sheetName val="DATA SHEET"/>
      <sheetName val="back_cal_for omc"/>
      <sheetName val="Name List"/>
    </sheetNames>
    <sheetDataSet>
      <sheetData sheetId="0">
        <row r="7">
          <cell r="C7">
            <v>293.02999999999997</v>
          </cell>
        </row>
      </sheetData>
      <sheetData sheetId="1">
        <row r="7">
          <cell r="C7">
            <v>293.02999999999997</v>
          </cell>
        </row>
      </sheetData>
      <sheetData sheetId="2">
        <row r="7">
          <cell r="C7">
            <v>293.02999999999997</v>
          </cell>
        </row>
      </sheetData>
      <sheetData sheetId="3">
        <row r="7">
          <cell r="C7">
            <v>293.02999999999997</v>
          </cell>
        </row>
      </sheetData>
      <sheetData sheetId="4">
        <row r="7">
          <cell r="C7">
            <v>293.02999999999997</v>
          </cell>
        </row>
      </sheetData>
      <sheetData sheetId="5">
        <row r="7">
          <cell r="C7">
            <v>293.02999999999997</v>
          </cell>
        </row>
      </sheetData>
      <sheetData sheetId="6">
        <row r="7">
          <cell r="C7">
            <v>293.02999999999997</v>
          </cell>
        </row>
      </sheetData>
      <sheetData sheetId="7" refreshError="1"/>
      <sheetData sheetId="8">
        <row r="2">
          <cell r="C2">
            <v>293.02999999999997</v>
          </cell>
        </row>
        <row r="7">
          <cell r="C7">
            <v>293.02999999999997</v>
          </cell>
        </row>
      </sheetData>
      <sheetData sheetId="9"/>
      <sheetData sheetId="10"/>
      <sheetData sheetId="11">
        <row r="2">
          <cell r="C2">
            <v>293.02999999999997</v>
          </cell>
        </row>
      </sheetData>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rate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y ash diff"/>
      <sheetName val="boq withou link"/>
      <sheetName val="Sheet2"/>
      <sheetName val="Abstract"/>
      <sheetName val="BOQ"/>
      <sheetName val="hospital doors shedule"/>
      <sheetName val="Hostel door fixtures"/>
      <sheetName val="excavation"/>
      <sheetName val="external development"/>
      <sheetName val="sand filling"/>
      <sheetName val="PCC"/>
      <sheetName val="RCC work "/>
      <sheetName val="Doors &amp; window "/>
      <sheetName val="shuttering "/>
      <sheetName val="brick work."/>
      <sheetName val="plaster"/>
      <sheetName val="raised flooring "/>
      <sheetName val="partition work "/>
      <sheetName val="Chequered flooring "/>
      <sheetName val="ceilling work"/>
      <sheetName val="vinyl flooring "/>
      <sheetName val="water proofing "/>
      <sheetName val="expansion joint "/>
      <sheetName val="Epoxy"/>
      <sheetName val="vitrified tile cladding "/>
      <sheetName val="vitrified flooring "/>
      <sheetName val="kota flooring"/>
      <sheetName val="flooring in toilet "/>
      <sheetName val="external Plaster"/>
      <sheetName val="trimix "/>
      <sheetName val="external cladding "/>
      <sheetName val="Acrylicimultion paint "/>
      <sheetName val="OBD"/>
      <sheetName val=" ceramic tile cladding "/>
      <sheetName val="Granite cladding "/>
      <sheetName val="counter stone "/>
      <sheetName val="MS work"/>
      <sheetName val="railling"/>
      <sheetName val="non DSR"/>
      <sheetName val="canopy"/>
      <sheetName val="sunken fiiling "/>
      <sheetName val="Hostel door shedu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
      <sheetName val="Sheet1"/>
      <sheetName val="TECHNICAL REPORT"/>
      <sheetName val="GENERAL ABSTRACT"/>
      <sheetName val="ESTIMATE"/>
      <sheetName val="NON- S.O.R."/>
      <sheetName val="MEASUREMENT SHEET"/>
      <sheetName val="Lead"/>
      <sheetName val="PRECAST lightconc-II"/>
      <sheetName val="Factors"/>
    </sheetNames>
    <sheetDataSet>
      <sheetData sheetId="0"/>
      <sheetData sheetId="1"/>
      <sheetData sheetId="2"/>
      <sheetData sheetId="3"/>
      <sheetData sheetId="4">
        <row r="315">
          <cell r="F315">
            <v>34300000</v>
          </cell>
        </row>
      </sheetData>
      <sheetData sheetId="5"/>
      <sheetData sheetId="6"/>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REVISED"/>
      <sheetName val="Improvements"/>
      <sheetName val="Project Budget Worksheet"/>
    </sheetNames>
    <sheetDataSet>
      <sheetData sheetId="0"/>
      <sheetData sheetId="1">
        <row r="244">
          <cell r="F244">
            <v>5211000</v>
          </cell>
        </row>
      </sheetData>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WG."/>
      <sheetName val="Cos (2)"/>
      <sheetName val="Enquire"/>
      <sheetName val="Cos"/>
      <sheetName val="summary "/>
      <sheetName val="SOP"/>
      <sheetName val="#REF"/>
      <sheetName val="M.R.1"/>
      <sheetName val="Project Budget Worksheet"/>
      <sheetName val="Testing"/>
      <sheetName val="conc-foot-gradeslab"/>
      <sheetName val="INPUT SHEET"/>
      <sheetName val="Input"/>
      <sheetName val="labour rates"/>
      <sheetName val="labour"/>
      <sheetName val="REVISED"/>
      <sheetName val="BOQ"/>
      <sheetName val="7 Steel Rein."/>
      <sheetName val="Summary"/>
      <sheetName val="num-word"/>
      <sheetName val="Civil Works"/>
      <sheetName val="Measurment"/>
      <sheetName val="SPT vs PHI"/>
      <sheetName val="Sheet1"/>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98"/>
  <sheetViews>
    <sheetView showZeros="0" tabSelected="1" view="pageBreakPreview" topLeftCell="A168" zoomScale="115" zoomScaleNormal="100" zoomScaleSheetLayoutView="115" zoomScalePageLayoutView="125" workbookViewId="0">
      <selection activeCell="H170" sqref="H170"/>
    </sheetView>
  </sheetViews>
  <sheetFormatPr defaultColWidth="8.88671875" defaultRowHeight="13.2"/>
  <cols>
    <col min="1" max="1" width="8.109375" style="7" customWidth="1"/>
    <col min="2" max="2" width="69.6640625" style="13" customWidth="1"/>
    <col min="3" max="4" width="9" style="4" customWidth="1"/>
    <col min="5" max="5" width="11.6640625" style="6" customWidth="1"/>
    <col min="6" max="6" width="15" style="6" customWidth="1"/>
    <col min="7" max="7" width="12.33203125" style="1" bestFit="1" customWidth="1"/>
    <col min="8" max="16384" width="8.88671875" style="1"/>
  </cols>
  <sheetData>
    <row r="1" spans="1:6" ht="21" customHeight="1">
      <c r="A1" s="49" t="s">
        <v>33</v>
      </c>
      <c r="B1" s="49"/>
      <c r="C1" s="49"/>
      <c r="D1" s="49"/>
      <c r="E1" s="49"/>
      <c r="F1" s="49"/>
    </row>
    <row r="3" spans="1:6">
      <c r="A3" s="46" t="s">
        <v>0</v>
      </c>
      <c r="B3" s="46"/>
    </row>
    <row r="4" spans="1:6" ht="12.75" customHeight="1"/>
    <row r="5" spans="1:6" ht="53.25" customHeight="1">
      <c r="A5" s="7">
        <v>1</v>
      </c>
      <c r="B5" s="47" t="s">
        <v>21</v>
      </c>
      <c r="C5" s="47"/>
      <c r="D5" s="47"/>
      <c r="E5" s="47"/>
      <c r="F5" s="47"/>
    </row>
    <row r="7" spans="1:6" ht="40.5" customHeight="1">
      <c r="A7" s="7">
        <v>2</v>
      </c>
      <c r="B7" s="47" t="s">
        <v>22</v>
      </c>
      <c r="C7" s="47"/>
      <c r="D7" s="47"/>
      <c r="E7" s="47"/>
      <c r="F7" s="47"/>
    </row>
    <row r="9" spans="1:6" ht="13.5" customHeight="1">
      <c r="A9" s="7">
        <v>3</v>
      </c>
      <c r="B9" s="47" t="s">
        <v>5</v>
      </c>
      <c r="C9" s="47"/>
      <c r="D9" s="47"/>
      <c r="E9" s="47"/>
      <c r="F9" s="47"/>
    </row>
    <row r="11" spans="1:6" s="8" customFormat="1" ht="40.5" customHeight="1">
      <c r="A11" s="17"/>
      <c r="B11" s="50" t="s">
        <v>30</v>
      </c>
      <c r="C11" s="50"/>
      <c r="D11" s="50"/>
      <c r="E11" s="47"/>
      <c r="F11" s="47"/>
    </row>
    <row r="13" spans="1:6" s="8" customFormat="1" ht="40.5" customHeight="1">
      <c r="A13" s="17"/>
      <c r="B13" s="50" t="s">
        <v>38</v>
      </c>
      <c r="C13" s="50"/>
      <c r="D13" s="50"/>
      <c r="E13" s="47"/>
      <c r="F13" s="47"/>
    </row>
    <row r="15" spans="1:6" s="8" customFormat="1">
      <c r="A15" s="17"/>
      <c r="B15" s="48" t="s">
        <v>39</v>
      </c>
      <c r="C15" s="48"/>
      <c r="D15" s="48"/>
      <c r="E15" s="16"/>
      <c r="F15" s="16"/>
    </row>
    <row r="17" spans="1:6" s="8" customFormat="1" ht="39.75" customHeight="1">
      <c r="A17" s="17"/>
      <c r="B17" s="50" t="s">
        <v>40</v>
      </c>
      <c r="C17" s="50"/>
      <c r="D17" s="50"/>
      <c r="E17" s="50"/>
      <c r="F17" s="50"/>
    </row>
    <row r="19" spans="1:6" s="8" customFormat="1" ht="27" customHeight="1">
      <c r="A19" s="17"/>
      <c r="B19" s="50" t="s">
        <v>46</v>
      </c>
      <c r="C19" s="50"/>
      <c r="D19" s="50"/>
      <c r="E19" s="47"/>
      <c r="F19" s="47"/>
    </row>
    <row r="21" spans="1:6" ht="41.25" customHeight="1">
      <c r="A21" s="7">
        <v>4</v>
      </c>
      <c r="B21" s="47" t="s">
        <v>1</v>
      </c>
      <c r="C21" s="47"/>
      <c r="D21" s="47"/>
      <c r="E21" s="47"/>
      <c r="F21" s="47"/>
    </row>
    <row r="23" spans="1:6" ht="39" customHeight="1">
      <c r="A23" s="7">
        <v>5</v>
      </c>
      <c r="B23" s="47" t="s">
        <v>41</v>
      </c>
      <c r="C23" s="47"/>
      <c r="D23" s="47"/>
      <c r="E23" s="47"/>
      <c r="F23" s="47"/>
    </row>
    <row r="25" spans="1:6" ht="27.75" customHeight="1">
      <c r="A25" s="7">
        <v>6</v>
      </c>
      <c r="B25" s="47" t="s">
        <v>2</v>
      </c>
      <c r="C25" s="47"/>
      <c r="D25" s="47"/>
      <c r="E25" s="47"/>
      <c r="F25" s="47"/>
    </row>
    <row r="27" spans="1:6" ht="39" customHeight="1">
      <c r="A27" s="7">
        <v>7</v>
      </c>
      <c r="B27" s="47" t="s">
        <v>42</v>
      </c>
      <c r="C27" s="47"/>
      <c r="D27" s="47"/>
      <c r="E27" s="47"/>
      <c r="F27" s="47"/>
    </row>
    <row r="29" spans="1:6" ht="27" customHeight="1">
      <c r="A29" s="7">
        <v>8</v>
      </c>
      <c r="B29" s="47" t="s">
        <v>3</v>
      </c>
      <c r="C29" s="47"/>
      <c r="D29" s="47"/>
      <c r="E29" s="47"/>
      <c r="F29" s="47"/>
    </row>
    <row r="31" spans="1:6" ht="27" customHeight="1">
      <c r="A31" s="7">
        <v>9</v>
      </c>
      <c r="B31" s="47" t="s">
        <v>45</v>
      </c>
      <c r="C31" s="47"/>
      <c r="D31" s="47"/>
      <c r="E31" s="47"/>
      <c r="F31" s="47"/>
    </row>
    <row r="33" spans="1:6" ht="39.75" customHeight="1">
      <c r="A33" s="7">
        <v>10</v>
      </c>
      <c r="B33" s="47" t="s">
        <v>11</v>
      </c>
      <c r="C33" s="47"/>
      <c r="D33" s="47"/>
      <c r="E33" s="47"/>
      <c r="F33" s="47"/>
    </row>
    <row r="35" spans="1:6" ht="27" customHeight="1">
      <c r="A35" s="7">
        <v>11</v>
      </c>
      <c r="B35" s="47" t="s">
        <v>10</v>
      </c>
      <c r="C35" s="47"/>
      <c r="D35" s="47"/>
      <c r="E35" s="47"/>
      <c r="F35" s="47"/>
    </row>
    <row r="37" spans="1:6" ht="12.75" customHeight="1">
      <c r="A37" s="7">
        <v>12</v>
      </c>
      <c r="B37" s="47" t="s">
        <v>12</v>
      </c>
      <c r="C37" s="47"/>
      <c r="D37" s="47"/>
      <c r="E37" s="47"/>
      <c r="F37" s="47"/>
    </row>
    <row r="38" spans="1:6">
      <c r="B38" s="45"/>
      <c r="C38" s="45"/>
      <c r="D38" s="45"/>
    </row>
    <row r="39" spans="1:6" ht="40.5" customHeight="1">
      <c r="A39" s="7">
        <v>13</v>
      </c>
      <c r="B39" s="45" t="s">
        <v>47</v>
      </c>
      <c r="C39" s="45"/>
      <c r="D39" s="45"/>
      <c r="E39" s="45"/>
      <c r="F39" s="45"/>
    </row>
    <row r="41" spans="1:6" ht="42" customHeight="1">
      <c r="A41" s="7">
        <v>15</v>
      </c>
      <c r="B41" s="45" t="s">
        <v>44</v>
      </c>
      <c r="C41" s="45"/>
      <c r="D41" s="45"/>
      <c r="E41" s="45"/>
      <c r="F41" s="45"/>
    </row>
    <row r="43" spans="1:6" ht="42.75" customHeight="1">
      <c r="A43" s="7">
        <v>16</v>
      </c>
      <c r="B43" s="45" t="s">
        <v>13</v>
      </c>
      <c r="C43" s="45"/>
      <c r="D43" s="45"/>
      <c r="E43" s="45"/>
      <c r="F43" s="45"/>
    </row>
    <row r="45" spans="1:6" ht="40.5" customHeight="1">
      <c r="A45" s="7">
        <v>17</v>
      </c>
      <c r="B45" s="45" t="s">
        <v>43</v>
      </c>
      <c r="C45" s="45"/>
      <c r="D45" s="45"/>
      <c r="E45" s="45"/>
      <c r="F45" s="45"/>
    </row>
    <row r="47" spans="1:6" ht="83.25" customHeight="1">
      <c r="A47" s="7">
        <v>18</v>
      </c>
      <c r="B47" s="45" t="s">
        <v>6</v>
      </c>
      <c r="C47" s="45"/>
      <c r="D47" s="45"/>
      <c r="E47" s="45"/>
      <c r="F47" s="45"/>
    </row>
    <row r="48" spans="1:6" s="7" customFormat="1" ht="27.75" customHeight="1">
      <c r="A48" s="20" t="s">
        <v>23</v>
      </c>
      <c r="B48" s="20" t="s">
        <v>24</v>
      </c>
      <c r="C48" s="20" t="s">
        <v>25</v>
      </c>
      <c r="D48" s="20" t="s">
        <v>37</v>
      </c>
      <c r="E48" s="43" t="s">
        <v>26</v>
      </c>
      <c r="F48" s="43" t="s">
        <v>27</v>
      </c>
    </row>
    <row r="49" spans="1:6">
      <c r="A49" s="20"/>
      <c r="B49" s="44"/>
      <c r="C49" s="20"/>
      <c r="D49" s="20"/>
      <c r="E49" s="43"/>
      <c r="F49" s="43"/>
    </row>
    <row r="50" spans="1:6" s="9" customFormat="1">
      <c r="A50" s="20" t="s">
        <v>48</v>
      </c>
      <c r="B50" s="21" t="s">
        <v>36</v>
      </c>
      <c r="C50" s="22"/>
      <c r="D50" s="22"/>
      <c r="E50" s="23"/>
      <c r="F50" s="23"/>
    </row>
    <row r="51" spans="1:6">
      <c r="A51" s="24"/>
      <c r="B51" s="25"/>
      <c r="C51" s="24"/>
      <c r="D51" s="24"/>
      <c r="E51" s="26"/>
      <c r="F51" s="26"/>
    </row>
    <row r="52" spans="1:6" s="9" customFormat="1">
      <c r="A52" s="27"/>
      <c r="B52" s="28" t="s">
        <v>28</v>
      </c>
      <c r="C52" s="24"/>
      <c r="D52" s="24"/>
      <c r="E52" s="26"/>
      <c r="F52" s="23"/>
    </row>
    <row r="53" spans="1:6">
      <c r="A53" s="24"/>
      <c r="B53" s="25"/>
      <c r="C53" s="24"/>
      <c r="D53" s="24"/>
      <c r="E53" s="26"/>
      <c r="F53" s="26"/>
    </row>
    <row r="54" spans="1:6" s="9" customFormat="1" ht="39.6">
      <c r="A54" s="29"/>
      <c r="B54" s="30" t="s">
        <v>29</v>
      </c>
      <c r="C54" s="24"/>
      <c r="D54" s="24"/>
      <c r="E54" s="26"/>
      <c r="F54" s="23"/>
    </row>
    <row r="55" spans="1:6">
      <c r="A55" s="24"/>
      <c r="B55" s="25"/>
      <c r="C55" s="24"/>
      <c r="D55" s="24"/>
      <c r="E55" s="26"/>
      <c r="F55" s="26"/>
    </row>
    <row r="56" spans="1:6" s="9" customFormat="1" ht="27.75" customHeight="1">
      <c r="A56" s="29"/>
      <c r="B56" s="30" t="s">
        <v>34</v>
      </c>
      <c r="C56" s="24"/>
      <c r="D56" s="24"/>
      <c r="E56" s="26"/>
      <c r="F56" s="23"/>
    </row>
    <row r="57" spans="1:6">
      <c r="A57" s="24"/>
      <c r="B57" s="25"/>
      <c r="C57" s="24"/>
      <c r="D57" s="24"/>
      <c r="E57" s="26"/>
      <c r="F57" s="26"/>
    </row>
    <row r="58" spans="1:6" s="9" customFormat="1" ht="27.75" customHeight="1">
      <c r="A58" s="29"/>
      <c r="B58" s="30" t="s">
        <v>35</v>
      </c>
      <c r="C58" s="24"/>
      <c r="D58" s="24"/>
      <c r="E58" s="31"/>
      <c r="F58" s="32"/>
    </row>
    <row r="59" spans="1:6" ht="12" customHeight="1">
      <c r="A59" s="24"/>
      <c r="B59" s="25"/>
      <c r="C59" s="24"/>
      <c r="D59" s="24"/>
      <c r="E59" s="26"/>
      <c r="F59" s="26"/>
    </row>
    <row r="60" spans="1:6" s="9" customFormat="1" ht="79.2">
      <c r="A60" s="22">
        <v>1</v>
      </c>
      <c r="B60" s="33" t="s">
        <v>77</v>
      </c>
      <c r="C60" s="22" t="s">
        <v>15</v>
      </c>
      <c r="D60" s="22">
        <v>6</v>
      </c>
      <c r="E60" s="31"/>
      <c r="F60" s="32">
        <f>E60*D60</f>
        <v>0</v>
      </c>
    </row>
    <row r="61" spans="1:6" s="9" customFormat="1" ht="79.2">
      <c r="A61" s="22">
        <v>2</v>
      </c>
      <c r="B61" s="33" t="s">
        <v>78</v>
      </c>
      <c r="C61" s="22" t="s">
        <v>15</v>
      </c>
      <c r="D61" s="22">
        <v>1</v>
      </c>
      <c r="E61" s="31"/>
      <c r="F61" s="32">
        <f>E61*D61</f>
        <v>0</v>
      </c>
    </row>
    <row r="62" spans="1:6" s="9" customFormat="1">
      <c r="A62" s="22"/>
      <c r="B62" s="33"/>
      <c r="C62" s="22"/>
      <c r="D62" s="22"/>
      <c r="E62" s="31"/>
      <c r="F62" s="32"/>
    </row>
    <row r="63" spans="1:6" s="9" customFormat="1" ht="58.8" customHeight="1">
      <c r="A63" s="22">
        <v>3</v>
      </c>
      <c r="B63" s="33" t="s">
        <v>79</v>
      </c>
      <c r="C63" s="22" t="s">
        <v>15</v>
      </c>
      <c r="D63" s="22">
        <v>7</v>
      </c>
      <c r="E63" s="31"/>
      <c r="F63" s="32">
        <f>E63*D63</f>
        <v>0</v>
      </c>
    </row>
    <row r="64" spans="1:6" s="9" customFormat="1">
      <c r="A64" s="22"/>
      <c r="B64" s="33"/>
      <c r="C64" s="22"/>
      <c r="D64" s="22"/>
      <c r="E64" s="31"/>
      <c r="F64" s="32"/>
    </row>
    <row r="65" spans="1:6" s="9" customFormat="1" ht="52.8">
      <c r="A65" s="22">
        <f>A63+1</f>
        <v>4</v>
      </c>
      <c r="B65" s="25" t="s">
        <v>80</v>
      </c>
      <c r="C65" s="22" t="s">
        <v>15</v>
      </c>
      <c r="D65" s="22">
        <v>6</v>
      </c>
      <c r="E65" s="31"/>
      <c r="F65" s="26">
        <f t="shared" ref="F65:F70" si="0">E65*D65</f>
        <v>0</v>
      </c>
    </row>
    <row r="66" spans="1:6" s="9" customFormat="1" ht="41.4">
      <c r="A66" s="22"/>
      <c r="B66" s="34" t="s">
        <v>81</v>
      </c>
      <c r="C66" s="22"/>
      <c r="D66" s="22"/>
      <c r="E66" s="31"/>
      <c r="F66" s="26"/>
    </row>
    <row r="67" spans="1:6" ht="13.8">
      <c r="A67" s="24"/>
      <c r="B67" s="35" t="s">
        <v>20</v>
      </c>
      <c r="C67" s="22" t="s">
        <v>15</v>
      </c>
      <c r="D67" s="24">
        <v>6</v>
      </c>
      <c r="E67" s="26"/>
      <c r="F67" s="26">
        <f t="shared" si="0"/>
        <v>0</v>
      </c>
    </row>
    <row r="68" spans="1:6" ht="11.25" customHeight="1">
      <c r="A68" s="24"/>
      <c r="B68" s="35"/>
      <c r="C68" s="22"/>
      <c r="D68" s="24"/>
      <c r="E68" s="26"/>
      <c r="F68" s="26"/>
    </row>
    <row r="69" spans="1:6" ht="26.4">
      <c r="A69" s="22">
        <f>A65+1</f>
        <v>5</v>
      </c>
      <c r="B69" s="36" t="s">
        <v>82</v>
      </c>
      <c r="C69" s="23" t="s">
        <v>15</v>
      </c>
      <c r="D69" s="23">
        <v>7</v>
      </c>
      <c r="E69" s="31"/>
      <c r="F69" s="26">
        <f t="shared" si="0"/>
        <v>0</v>
      </c>
    </row>
    <row r="70" spans="1:6">
      <c r="A70" s="24"/>
      <c r="B70" s="25"/>
      <c r="C70" s="24"/>
      <c r="D70" s="24"/>
      <c r="E70" s="26"/>
      <c r="F70" s="26">
        <f t="shared" si="0"/>
        <v>0</v>
      </c>
    </row>
    <row r="71" spans="1:6" ht="26.4">
      <c r="A71" s="24"/>
      <c r="B71" s="36" t="s">
        <v>83</v>
      </c>
      <c r="C71" s="23" t="s">
        <v>15</v>
      </c>
      <c r="D71" s="23">
        <v>7</v>
      </c>
      <c r="E71" s="31"/>
      <c r="F71" s="26">
        <f>E71*D71</f>
        <v>0</v>
      </c>
    </row>
    <row r="72" spans="1:6">
      <c r="A72" s="24"/>
      <c r="B72" s="25"/>
      <c r="C72" s="24"/>
      <c r="D72" s="24"/>
      <c r="E72" s="26"/>
      <c r="F72" s="26">
        <f t="shared" ref="F72:F110" si="1">E72*D72</f>
        <v>0</v>
      </c>
    </row>
    <row r="73" spans="1:6" ht="26.4">
      <c r="A73" s="22">
        <f>A69+1</f>
        <v>6</v>
      </c>
      <c r="B73" s="33" t="s">
        <v>84</v>
      </c>
      <c r="C73" s="22" t="s">
        <v>15</v>
      </c>
      <c r="D73" s="22">
        <v>6</v>
      </c>
      <c r="E73" s="31"/>
      <c r="F73" s="26">
        <f t="shared" si="1"/>
        <v>0</v>
      </c>
    </row>
    <row r="74" spans="1:6" s="9" customFormat="1">
      <c r="A74" s="24"/>
      <c r="B74" s="25"/>
      <c r="C74" s="24"/>
      <c r="D74" s="24"/>
      <c r="E74" s="26"/>
      <c r="F74" s="26">
        <f t="shared" si="1"/>
        <v>0</v>
      </c>
    </row>
    <row r="75" spans="1:6" ht="26.4">
      <c r="A75" s="22">
        <f>A73+1</f>
        <v>7</v>
      </c>
      <c r="B75" s="33" t="s">
        <v>85</v>
      </c>
      <c r="C75" s="22" t="s">
        <v>15</v>
      </c>
      <c r="D75" s="22">
        <v>40</v>
      </c>
      <c r="E75" s="31"/>
      <c r="F75" s="26">
        <f t="shared" si="1"/>
        <v>0</v>
      </c>
    </row>
    <row r="76" spans="1:6" s="9" customFormat="1">
      <c r="A76" s="24"/>
      <c r="B76" s="25"/>
      <c r="C76" s="24"/>
      <c r="D76" s="24"/>
      <c r="E76" s="26"/>
      <c r="F76" s="26">
        <f t="shared" si="1"/>
        <v>0</v>
      </c>
    </row>
    <row r="77" spans="1:6" s="9" customFormat="1" ht="39.6">
      <c r="A77" s="22">
        <f>A75+1</f>
        <v>8</v>
      </c>
      <c r="B77" s="33" t="s">
        <v>86</v>
      </c>
      <c r="C77" s="22" t="s">
        <v>15</v>
      </c>
      <c r="D77" s="22">
        <v>40</v>
      </c>
      <c r="E77" s="31"/>
      <c r="F77" s="26">
        <f t="shared" si="1"/>
        <v>0</v>
      </c>
    </row>
    <row r="78" spans="1:6" s="9" customFormat="1">
      <c r="A78" s="22"/>
      <c r="B78" s="25"/>
      <c r="C78" s="24"/>
      <c r="D78" s="24"/>
      <c r="E78" s="26"/>
      <c r="F78" s="26">
        <f t="shared" si="1"/>
        <v>0</v>
      </c>
    </row>
    <row r="79" spans="1:6" ht="26.4">
      <c r="A79" s="22">
        <f>A77+1</f>
        <v>9</v>
      </c>
      <c r="B79" s="33" t="s">
        <v>87</v>
      </c>
      <c r="C79" s="22" t="s">
        <v>15</v>
      </c>
      <c r="D79" s="22">
        <v>7</v>
      </c>
      <c r="E79" s="31"/>
      <c r="F79" s="26">
        <f t="shared" si="1"/>
        <v>0</v>
      </c>
    </row>
    <row r="80" spans="1:6" s="9" customFormat="1">
      <c r="A80" s="24"/>
      <c r="B80" s="25"/>
      <c r="C80" s="24"/>
      <c r="D80" s="24"/>
      <c r="E80" s="26"/>
      <c r="F80" s="26">
        <f t="shared" si="1"/>
        <v>0</v>
      </c>
    </row>
    <row r="81" spans="1:9" ht="52.8">
      <c r="A81" s="22">
        <f>A79+1</f>
        <v>10</v>
      </c>
      <c r="B81" s="25" t="s">
        <v>88</v>
      </c>
      <c r="C81" s="22" t="s">
        <v>15</v>
      </c>
      <c r="D81" s="22">
        <v>6</v>
      </c>
      <c r="E81" s="23"/>
      <c r="F81" s="26">
        <f t="shared" si="1"/>
        <v>0</v>
      </c>
    </row>
    <row r="82" spans="1:9" s="9" customFormat="1">
      <c r="A82" s="22"/>
      <c r="B82" s="33"/>
      <c r="C82" s="22"/>
      <c r="D82" s="22"/>
      <c r="E82" s="23"/>
      <c r="F82" s="26">
        <f t="shared" si="1"/>
        <v>0</v>
      </c>
    </row>
    <row r="83" spans="1:9">
      <c r="A83" s="22">
        <f>A81+1</f>
        <v>11</v>
      </c>
      <c r="B83" s="25" t="s">
        <v>89</v>
      </c>
      <c r="C83" s="22" t="s">
        <v>15</v>
      </c>
      <c r="D83" s="22">
        <v>6</v>
      </c>
      <c r="E83" s="23"/>
      <c r="F83" s="26">
        <f t="shared" si="1"/>
        <v>0</v>
      </c>
    </row>
    <row r="84" spans="1:9" s="3" customFormat="1">
      <c r="A84" s="22"/>
      <c r="B84" s="25"/>
      <c r="C84" s="22"/>
      <c r="D84" s="22"/>
      <c r="E84" s="23"/>
      <c r="F84" s="26">
        <f t="shared" si="1"/>
        <v>0</v>
      </c>
      <c r="G84" s="10"/>
      <c r="H84" s="11"/>
      <c r="I84" s="12"/>
    </row>
    <row r="85" spans="1:9" s="3" customFormat="1" ht="26.4">
      <c r="A85" s="22">
        <f>A83+1</f>
        <v>12</v>
      </c>
      <c r="B85" s="25" t="s">
        <v>90</v>
      </c>
      <c r="C85" s="22" t="s">
        <v>15</v>
      </c>
      <c r="D85" s="22">
        <v>8</v>
      </c>
      <c r="E85" s="23"/>
      <c r="F85" s="26">
        <f t="shared" si="1"/>
        <v>0</v>
      </c>
      <c r="G85" s="10"/>
      <c r="H85" s="11"/>
      <c r="I85" s="12"/>
    </row>
    <row r="86" spans="1:9" s="3" customFormat="1">
      <c r="A86" s="22"/>
      <c r="B86" s="25"/>
      <c r="C86" s="22"/>
      <c r="D86" s="22"/>
      <c r="E86" s="23"/>
      <c r="F86" s="26">
        <f t="shared" si="1"/>
        <v>0</v>
      </c>
      <c r="G86" s="10"/>
      <c r="H86" s="11"/>
      <c r="I86" s="12"/>
    </row>
    <row r="87" spans="1:9" s="3" customFormat="1" ht="26.4">
      <c r="A87" s="22">
        <f>A85+1</f>
        <v>13</v>
      </c>
      <c r="B87" s="25" t="s">
        <v>91</v>
      </c>
      <c r="C87" s="22" t="s">
        <v>15</v>
      </c>
      <c r="D87" s="22">
        <v>9</v>
      </c>
      <c r="E87" s="23"/>
      <c r="F87" s="26">
        <f t="shared" si="1"/>
        <v>0</v>
      </c>
      <c r="G87" s="10"/>
      <c r="H87" s="11"/>
      <c r="I87" s="12"/>
    </row>
    <row r="88" spans="1:9" s="3" customFormat="1" ht="9.75" customHeight="1">
      <c r="A88" s="22"/>
      <c r="B88" s="25"/>
      <c r="C88" s="22"/>
      <c r="D88" s="22"/>
      <c r="E88" s="23"/>
      <c r="F88" s="26">
        <f t="shared" si="1"/>
        <v>0</v>
      </c>
      <c r="G88" s="10"/>
      <c r="H88" s="11"/>
      <c r="I88" s="12"/>
    </row>
    <row r="89" spans="1:9" s="3" customFormat="1">
      <c r="A89" s="22">
        <f>A87+1</f>
        <v>14</v>
      </c>
      <c r="B89" s="25" t="s">
        <v>74</v>
      </c>
      <c r="C89" s="23"/>
      <c r="D89" s="23"/>
      <c r="E89" s="31"/>
      <c r="F89" s="26">
        <f t="shared" si="1"/>
        <v>0</v>
      </c>
      <c r="G89" s="10"/>
      <c r="H89" s="11"/>
      <c r="I89" s="12"/>
    </row>
    <row r="90" spans="1:9" s="3" customFormat="1" ht="82.8">
      <c r="A90" s="24"/>
      <c r="B90" s="25" t="s">
        <v>101</v>
      </c>
      <c r="C90" s="23" t="s">
        <v>15</v>
      </c>
      <c r="D90" s="24">
        <v>2</v>
      </c>
      <c r="E90" s="26"/>
      <c r="F90" s="26">
        <f t="shared" si="1"/>
        <v>0</v>
      </c>
      <c r="G90" s="10"/>
      <c r="H90" s="11"/>
      <c r="I90" s="12"/>
    </row>
    <row r="91" spans="1:9" s="3" customFormat="1" ht="33" customHeight="1">
      <c r="A91" s="24"/>
      <c r="B91" s="25" t="s">
        <v>102</v>
      </c>
      <c r="C91" s="23" t="s">
        <v>15</v>
      </c>
      <c r="D91" s="24">
        <v>2</v>
      </c>
      <c r="E91" s="26"/>
      <c r="F91" s="26">
        <f>E91*D91</f>
        <v>0</v>
      </c>
      <c r="G91" s="10"/>
      <c r="H91" s="11"/>
      <c r="I91" s="12"/>
    </row>
    <row r="92" spans="1:9" s="3" customFormat="1" ht="54.6">
      <c r="A92" s="24"/>
      <c r="B92" s="25" t="s">
        <v>103</v>
      </c>
      <c r="C92" s="23" t="s">
        <v>15</v>
      </c>
      <c r="D92" s="24">
        <v>2</v>
      </c>
      <c r="E92" s="26"/>
      <c r="F92" s="26">
        <f>E92*D92</f>
        <v>0</v>
      </c>
      <c r="G92" s="10"/>
      <c r="H92" s="11"/>
      <c r="I92" s="12"/>
    </row>
    <row r="93" spans="1:9" s="3" customFormat="1" ht="55.2">
      <c r="A93" s="24"/>
      <c r="B93" s="25" t="s">
        <v>104</v>
      </c>
      <c r="C93" s="23" t="s">
        <v>15</v>
      </c>
      <c r="D93" s="24">
        <v>2</v>
      </c>
      <c r="E93" s="26"/>
      <c r="F93" s="26">
        <f>E93*D93</f>
        <v>0</v>
      </c>
      <c r="G93" s="10"/>
      <c r="H93" s="11"/>
      <c r="I93" s="12"/>
    </row>
    <row r="94" spans="1:9" ht="55.2">
      <c r="A94" s="22"/>
      <c r="B94" s="25" t="s">
        <v>105</v>
      </c>
      <c r="C94" s="23" t="s">
        <v>15</v>
      </c>
      <c r="D94" s="23">
        <v>2</v>
      </c>
      <c r="E94" s="31"/>
      <c r="F94" s="26">
        <f>E94*D94</f>
        <v>0</v>
      </c>
    </row>
    <row r="95" spans="1:9">
      <c r="A95" s="22">
        <v>15</v>
      </c>
      <c r="B95" s="25" t="s">
        <v>69</v>
      </c>
      <c r="C95" s="23"/>
      <c r="D95" s="23"/>
      <c r="E95" s="31"/>
      <c r="F95" s="26">
        <f t="shared" si="1"/>
        <v>0</v>
      </c>
    </row>
    <row r="96" spans="1:9" ht="83.4" customHeight="1">
      <c r="A96" s="22"/>
      <c r="B96" s="25" t="s">
        <v>92</v>
      </c>
      <c r="C96" s="23" t="s">
        <v>15</v>
      </c>
      <c r="D96" s="23">
        <v>2</v>
      </c>
      <c r="E96" s="31"/>
      <c r="F96" s="26">
        <f t="shared" si="1"/>
        <v>0</v>
      </c>
    </row>
    <row r="97" spans="1:6" ht="111.75" customHeight="1">
      <c r="A97" s="22"/>
      <c r="B97" s="25" t="s">
        <v>70</v>
      </c>
      <c r="C97" s="23" t="s">
        <v>15</v>
      </c>
      <c r="D97" s="23">
        <v>2</v>
      </c>
      <c r="E97" s="31"/>
      <c r="F97" s="26">
        <f t="shared" si="1"/>
        <v>0</v>
      </c>
    </row>
    <row r="98" spans="1:6" ht="41.25" customHeight="1">
      <c r="A98" s="22"/>
      <c r="B98" s="25" t="s">
        <v>71</v>
      </c>
      <c r="C98" s="23" t="s">
        <v>15</v>
      </c>
      <c r="D98" s="23">
        <v>2</v>
      </c>
      <c r="E98" s="31"/>
      <c r="F98" s="26">
        <f t="shared" si="1"/>
        <v>0</v>
      </c>
    </row>
    <row r="99" spans="1:6" ht="17.25" customHeight="1">
      <c r="A99" s="22">
        <v>16</v>
      </c>
      <c r="B99" s="25" t="s">
        <v>72</v>
      </c>
      <c r="C99" s="23"/>
      <c r="D99" s="23"/>
      <c r="E99" s="31"/>
      <c r="F99" s="26">
        <f t="shared" si="1"/>
        <v>0</v>
      </c>
    </row>
    <row r="100" spans="1:6" ht="148.5" customHeight="1">
      <c r="A100" s="22"/>
      <c r="B100" s="25" t="s">
        <v>73</v>
      </c>
      <c r="C100" s="23" t="s">
        <v>15</v>
      </c>
      <c r="D100" s="23">
        <v>4</v>
      </c>
      <c r="E100" s="31"/>
      <c r="F100" s="26">
        <f t="shared" si="1"/>
        <v>0</v>
      </c>
    </row>
    <row r="101" spans="1:6" ht="59.25" customHeight="1">
      <c r="A101" s="22"/>
      <c r="B101" s="25" t="s">
        <v>111</v>
      </c>
      <c r="C101" s="23" t="s">
        <v>15</v>
      </c>
      <c r="D101" s="23">
        <v>4</v>
      </c>
      <c r="E101" s="31"/>
      <c r="F101" s="26">
        <f t="shared" si="1"/>
        <v>0</v>
      </c>
    </row>
    <row r="102" spans="1:6" ht="26.4">
      <c r="A102" s="22">
        <v>17</v>
      </c>
      <c r="B102" s="25" t="s">
        <v>76</v>
      </c>
      <c r="C102" s="23"/>
      <c r="D102" s="23"/>
      <c r="E102" s="31"/>
      <c r="F102" s="26"/>
    </row>
    <row r="103" spans="1:6" ht="14.25" customHeight="1">
      <c r="A103" s="22"/>
      <c r="B103" s="25"/>
      <c r="C103" s="23"/>
      <c r="D103" s="23"/>
      <c r="E103" s="31"/>
      <c r="F103" s="26">
        <f t="shared" si="1"/>
        <v>0</v>
      </c>
    </row>
    <row r="104" spans="1:6" ht="14.25" customHeight="1">
      <c r="A104" s="22"/>
      <c r="B104" s="25" t="s">
        <v>66</v>
      </c>
      <c r="C104" s="23" t="s">
        <v>15</v>
      </c>
      <c r="D104" s="23">
        <v>3</v>
      </c>
      <c r="E104" s="31"/>
      <c r="F104" s="26">
        <f t="shared" si="1"/>
        <v>0</v>
      </c>
    </row>
    <row r="105" spans="1:6" ht="14.25" customHeight="1">
      <c r="A105" s="22"/>
      <c r="B105" s="25" t="s">
        <v>67</v>
      </c>
      <c r="C105" s="23" t="s">
        <v>15</v>
      </c>
      <c r="D105" s="23">
        <v>3</v>
      </c>
      <c r="E105" s="31"/>
      <c r="F105" s="26">
        <f t="shared" si="1"/>
        <v>0</v>
      </c>
    </row>
    <row r="106" spans="1:6" ht="14.25" customHeight="1">
      <c r="A106" s="22"/>
      <c r="B106" s="25" t="s">
        <v>68</v>
      </c>
      <c r="C106" s="23" t="s">
        <v>15</v>
      </c>
      <c r="D106" s="23">
        <v>1</v>
      </c>
      <c r="E106" s="31"/>
      <c r="F106" s="26">
        <f t="shared" si="1"/>
        <v>0</v>
      </c>
    </row>
    <row r="107" spans="1:6" ht="14.25" customHeight="1">
      <c r="A107" s="22"/>
      <c r="B107" s="25"/>
      <c r="C107" s="23"/>
      <c r="D107" s="23"/>
      <c r="E107" s="31"/>
      <c r="F107" s="26">
        <f t="shared" si="1"/>
        <v>0</v>
      </c>
    </row>
    <row r="108" spans="1:6" ht="38.25" customHeight="1">
      <c r="A108" s="22">
        <v>18</v>
      </c>
      <c r="B108" s="25" t="s">
        <v>93</v>
      </c>
      <c r="C108" s="23" t="s">
        <v>15</v>
      </c>
      <c r="D108" s="23">
        <v>19</v>
      </c>
      <c r="E108" s="31"/>
      <c r="F108" s="26">
        <f t="shared" si="1"/>
        <v>0</v>
      </c>
    </row>
    <row r="109" spans="1:6" ht="14.25" customHeight="1">
      <c r="A109" s="22"/>
      <c r="B109" s="25"/>
      <c r="C109" s="23"/>
      <c r="D109" s="23"/>
      <c r="E109" s="31"/>
      <c r="F109" s="26"/>
    </row>
    <row r="110" spans="1:6" ht="74.400000000000006" customHeight="1">
      <c r="A110" s="22">
        <v>19</v>
      </c>
      <c r="B110" s="25" t="s">
        <v>106</v>
      </c>
      <c r="C110" s="23" t="s">
        <v>15</v>
      </c>
      <c r="D110" s="23">
        <v>7</v>
      </c>
      <c r="E110" s="31"/>
      <c r="F110" s="26">
        <f t="shared" si="1"/>
        <v>0</v>
      </c>
    </row>
    <row r="111" spans="1:6" ht="15.75" customHeight="1">
      <c r="A111" s="22"/>
      <c r="B111" s="25"/>
      <c r="C111" s="23"/>
      <c r="D111" s="23"/>
      <c r="E111" s="31"/>
      <c r="F111" s="26"/>
    </row>
    <row r="112" spans="1:6" ht="52.5" customHeight="1">
      <c r="A112" s="22">
        <v>19</v>
      </c>
      <c r="B112" s="25" t="s">
        <v>107</v>
      </c>
      <c r="C112" s="23" t="s">
        <v>15</v>
      </c>
      <c r="D112" s="23">
        <v>9</v>
      </c>
      <c r="E112" s="31"/>
      <c r="F112" s="26"/>
    </row>
    <row r="113" spans="1:11" ht="12.75" customHeight="1">
      <c r="A113" s="22"/>
      <c r="B113" s="25"/>
      <c r="C113" s="23"/>
      <c r="D113" s="23"/>
      <c r="E113" s="31"/>
      <c r="F113" s="26"/>
    </row>
    <row r="114" spans="1:11">
      <c r="A114" s="20" t="s">
        <v>16</v>
      </c>
      <c r="B114" s="25" t="s">
        <v>59</v>
      </c>
      <c r="C114" s="37"/>
      <c r="D114" s="37"/>
      <c r="E114" s="32"/>
      <c r="F114" s="32"/>
    </row>
    <row r="115" spans="1:11">
      <c r="A115" s="24"/>
      <c r="B115" s="25"/>
      <c r="C115" s="24"/>
      <c r="D115" s="24"/>
      <c r="E115" s="26"/>
      <c r="F115" s="26"/>
    </row>
    <row r="116" spans="1:11" ht="217.5" customHeight="1">
      <c r="A116" s="22">
        <v>1</v>
      </c>
      <c r="B116" s="25" t="s">
        <v>94</v>
      </c>
      <c r="C116" s="24"/>
      <c r="D116" s="24"/>
      <c r="E116" s="26"/>
      <c r="F116" s="26"/>
      <c r="K116" s="5"/>
    </row>
    <row r="117" spans="1:11">
      <c r="A117" s="22"/>
      <c r="B117" s="25"/>
      <c r="C117" s="22"/>
      <c r="D117" s="22"/>
      <c r="E117" s="32"/>
      <c r="F117" s="32"/>
      <c r="K117" s="5"/>
    </row>
    <row r="118" spans="1:11">
      <c r="A118" s="22">
        <f>1.1</f>
        <v>1.1000000000000001</v>
      </c>
      <c r="B118" s="25" t="s">
        <v>18</v>
      </c>
      <c r="C118" s="22" t="s">
        <v>17</v>
      </c>
      <c r="D118" s="22">
        <v>200</v>
      </c>
      <c r="E118" s="31"/>
      <c r="F118" s="32">
        <f t="shared" ref="F118:F121" si="2">E118*D118</f>
        <v>0</v>
      </c>
    </row>
    <row r="119" spans="1:11">
      <c r="A119" s="24"/>
      <c r="B119" s="25"/>
      <c r="C119" s="24"/>
      <c r="D119" s="24"/>
      <c r="E119" s="26"/>
      <c r="F119" s="26">
        <f t="shared" si="2"/>
        <v>0</v>
      </c>
    </row>
    <row r="120" spans="1:11">
      <c r="A120" s="22">
        <f>A118+0.1</f>
        <v>1.2000000000000002</v>
      </c>
      <c r="B120" s="25" t="s">
        <v>19</v>
      </c>
      <c r="C120" s="22" t="s">
        <v>17</v>
      </c>
      <c r="D120" s="22">
        <v>220</v>
      </c>
      <c r="E120" s="31"/>
      <c r="F120" s="32">
        <f t="shared" si="2"/>
        <v>0</v>
      </c>
    </row>
    <row r="121" spans="1:11">
      <c r="A121" s="24"/>
      <c r="B121" s="25"/>
      <c r="C121" s="24"/>
      <c r="D121" s="24"/>
      <c r="E121" s="26"/>
      <c r="F121" s="26">
        <f t="shared" si="2"/>
        <v>0</v>
      </c>
    </row>
    <row r="122" spans="1:11">
      <c r="A122" s="22">
        <f>A120+0.1</f>
        <v>1.3000000000000003</v>
      </c>
      <c r="B122" s="25" t="s">
        <v>8</v>
      </c>
      <c r="C122" s="24" t="s">
        <v>17</v>
      </c>
      <c r="D122" s="24">
        <v>130</v>
      </c>
      <c r="E122" s="26"/>
      <c r="F122" s="32">
        <f>E122*D122</f>
        <v>0</v>
      </c>
    </row>
    <row r="123" spans="1:11">
      <c r="A123" s="24"/>
      <c r="B123" s="25"/>
      <c r="C123" s="24"/>
      <c r="D123" s="24"/>
      <c r="E123" s="26"/>
      <c r="F123" s="32"/>
    </row>
    <row r="124" spans="1:11" ht="51" customHeight="1">
      <c r="A124" s="22">
        <v>2</v>
      </c>
      <c r="B124" s="25" t="s">
        <v>95</v>
      </c>
      <c r="C124" s="22"/>
      <c r="D124" s="22"/>
      <c r="E124" s="32"/>
      <c r="F124" s="32">
        <f t="shared" ref="F124:F134" si="3">E124*D124</f>
        <v>0</v>
      </c>
    </row>
    <row r="125" spans="1:11">
      <c r="A125" s="24"/>
      <c r="B125" s="25"/>
      <c r="C125" s="24"/>
      <c r="D125" s="24"/>
      <c r="E125" s="26"/>
      <c r="F125" s="26">
        <f t="shared" si="3"/>
        <v>0</v>
      </c>
    </row>
    <row r="126" spans="1:11" ht="12.75" customHeight="1">
      <c r="A126" s="22">
        <v>2.1</v>
      </c>
      <c r="B126" s="25" t="s">
        <v>18</v>
      </c>
      <c r="C126" s="22" t="s">
        <v>15</v>
      </c>
      <c r="D126" s="22">
        <v>40</v>
      </c>
      <c r="E126" s="31"/>
      <c r="F126" s="32">
        <f t="shared" si="3"/>
        <v>0</v>
      </c>
    </row>
    <row r="127" spans="1:11">
      <c r="A127" s="24"/>
      <c r="B127" s="25"/>
      <c r="C127" s="24"/>
      <c r="D127" s="24"/>
      <c r="E127" s="26"/>
      <c r="F127" s="26">
        <f t="shared" si="3"/>
        <v>0</v>
      </c>
    </row>
    <row r="128" spans="1:11" ht="12.75" customHeight="1">
      <c r="A128" s="22">
        <f>A126+0.1</f>
        <v>2.2000000000000002</v>
      </c>
      <c r="B128" s="25" t="s">
        <v>19</v>
      </c>
      <c r="C128" s="22" t="s">
        <v>15</v>
      </c>
      <c r="D128" s="22">
        <v>7</v>
      </c>
      <c r="E128" s="31"/>
      <c r="F128" s="32">
        <f t="shared" si="3"/>
        <v>0</v>
      </c>
    </row>
    <row r="129" spans="1:6">
      <c r="A129" s="24"/>
      <c r="B129" s="25"/>
      <c r="C129" s="24"/>
      <c r="D129" s="24"/>
      <c r="E129" s="26"/>
      <c r="F129" s="26">
        <f t="shared" si="3"/>
        <v>0</v>
      </c>
    </row>
    <row r="130" spans="1:6">
      <c r="A130" s="22">
        <f>A128+0.1</f>
        <v>2.3000000000000003</v>
      </c>
      <c r="B130" s="25" t="s">
        <v>8</v>
      </c>
      <c r="C130" s="22" t="s">
        <v>15</v>
      </c>
      <c r="D130" s="22">
        <v>20</v>
      </c>
      <c r="E130" s="31"/>
      <c r="F130" s="32">
        <f t="shared" si="3"/>
        <v>0</v>
      </c>
    </row>
    <row r="131" spans="1:6">
      <c r="A131" s="24"/>
      <c r="B131" s="25"/>
      <c r="C131" s="24"/>
      <c r="D131" s="24"/>
      <c r="E131" s="26"/>
      <c r="F131" s="26">
        <f t="shared" si="3"/>
        <v>0</v>
      </c>
    </row>
    <row r="132" spans="1:6" ht="52.8">
      <c r="A132" s="22">
        <v>3</v>
      </c>
      <c r="B132" s="25" t="s">
        <v>96</v>
      </c>
      <c r="C132" s="22"/>
      <c r="D132" s="22"/>
      <c r="E132" s="32"/>
      <c r="F132" s="32">
        <f t="shared" si="3"/>
        <v>0</v>
      </c>
    </row>
    <row r="133" spans="1:6">
      <c r="A133" s="24"/>
      <c r="B133" s="25"/>
      <c r="C133" s="24"/>
      <c r="D133" s="24"/>
      <c r="E133" s="26"/>
      <c r="F133" s="26">
        <f t="shared" si="3"/>
        <v>0</v>
      </c>
    </row>
    <row r="134" spans="1:6">
      <c r="A134" s="22">
        <f>A132+0.1</f>
        <v>3.1</v>
      </c>
      <c r="B134" s="25" t="s">
        <v>9</v>
      </c>
      <c r="C134" s="22" t="s">
        <v>15</v>
      </c>
      <c r="D134" s="22">
        <v>0</v>
      </c>
      <c r="E134" s="31"/>
      <c r="F134" s="32">
        <f t="shared" si="3"/>
        <v>0</v>
      </c>
    </row>
    <row r="135" spans="1:6">
      <c r="A135" s="22"/>
      <c r="B135" s="25"/>
      <c r="C135" s="22"/>
      <c r="D135" s="24"/>
      <c r="E135" s="26"/>
      <c r="F135" s="26"/>
    </row>
    <row r="136" spans="1:6" ht="26.4">
      <c r="A136" s="22">
        <v>4</v>
      </c>
      <c r="B136" s="25" t="s">
        <v>97</v>
      </c>
      <c r="C136" s="22"/>
      <c r="D136" s="24"/>
      <c r="E136" s="26"/>
      <c r="F136" s="26"/>
    </row>
    <row r="137" spans="1:6">
      <c r="A137" s="22"/>
      <c r="B137" s="25"/>
      <c r="C137" s="22"/>
      <c r="D137" s="24"/>
      <c r="E137" s="26"/>
      <c r="F137" s="26"/>
    </row>
    <row r="138" spans="1:6">
      <c r="A138" s="22">
        <v>4.0999999999999996</v>
      </c>
      <c r="B138" s="25" t="s">
        <v>51</v>
      </c>
      <c r="C138" s="22" t="s">
        <v>17</v>
      </c>
      <c r="D138" s="22">
        <v>70</v>
      </c>
      <c r="E138" s="31"/>
      <c r="F138" s="32">
        <f>E138*D138</f>
        <v>0</v>
      </c>
    </row>
    <row r="139" spans="1:6">
      <c r="A139" s="22"/>
      <c r="B139" s="25"/>
      <c r="C139" s="22"/>
      <c r="D139" s="24"/>
      <c r="E139" s="26"/>
      <c r="F139" s="26">
        <f>E139*D139</f>
        <v>0</v>
      </c>
    </row>
    <row r="140" spans="1:6">
      <c r="A140" s="22">
        <f>+A138+0.1</f>
        <v>4.1999999999999993</v>
      </c>
      <c r="B140" s="25" t="s">
        <v>50</v>
      </c>
      <c r="C140" s="22" t="s">
        <v>17</v>
      </c>
      <c r="D140" s="22">
        <v>55</v>
      </c>
      <c r="E140" s="31"/>
      <c r="F140" s="32">
        <f>E140*D140</f>
        <v>0</v>
      </c>
    </row>
    <row r="141" spans="1:6">
      <c r="A141" s="22"/>
      <c r="B141" s="25"/>
      <c r="C141" s="22"/>
      <c r="D141" s="24"/>
      <c r="E141" s="26"/>
      <c r="F141" s="32"/>
    </row>
    <row r="142" spans="1:6">
      <c r="A142" s="20" t="s">
        <v>14</v>
      </c>
      <c r="B142" s="25" t="s">
        <v>60</v>
      </c>
      <c r="C142" s="22"/>
      <c r="D142" s="24"/>
      <c r="E142" s="26"/>
      <c r="F142" s="32"/>
    </row>
    <row r="143" spans="1:6">
      <c r="A143" s="22"/>
      <c r="B143" s="25"/>
      <c r="C143" s="22"/>
      <c r="D143" s="24"/>
      <c r="E143" s="26"/>
      <c r="F143" s="32"/>
    </row>
    <row r="144" spans="1:6" ht="26.4">
      <c r="A144" s="22">
        <v>1</v>
      </c>
      <c r="B144" s="25" t="s">
        <v>62</v>
      </c>
      <c r="C144" s="22"/>
      <c r="D144" s="24"/>
      <c r="E144" s="26"/>
      <c r="F144" s="32"/>
    </row>
    <row r="145" spans="1:6">
      <c r="A145" s="24"/>
      <c r="B145" s="25"/>
      <c r="C145" s="22"/>
      <c r="D145" s="24"/>
      <c r="E145" s="26"/>
      <c r="F145" s="26">
        <f>E145*D145</f>
        <v>0</v>
      </c>
    </row>
    <row r="146" spans="1:6">
      <c r="A146" s="22">
        <v>1.1000000000000001</v>
      </c>
      <c r="B146" s="25" t="s">
        <v>61</v>
      </c>
      <c r="C146" s="22" t="s">
        <v>17</v>
      </c>
      <c r="D146" s="22">
        <v>70</v>
      </c>
      <c r="E146" s="31"/>
      <c r="F146" s="32">
        <f>E146*D146</f>
        <v>0</v>
      </c>
    </row>
    <row r="147" spans="1:6">
      <c r="A147" s="22"/>
      <c r="B147" s="25"/>
      <c r="C147" s="22"/>
      <c r="D147" s="24"/>
      <c r="E147" s="26"/>
      <c r="F147" s="32"/>
    </row>
    <row r="148" spans="1:6">
      <c r="A148" s="20" t="s">
        <v>49</v>
      </c>
      <c r="B148" s="25" t="s">
        <v>58</v>
      </c>
      <c r="C148" s="24"/>
      <c r="D148" s="24"/>
      <c r="E148" s="32"/>
      <c r="F148" s="32"/>
    </row>
    <row r="149" spans="1:6">
      <c r="A149" s="24"/>
      <c r="B149" s="25"/>
      <c r="C149" s="24"/>
      <c r="D149" s="24"/>
      <c r="E149" s="26"/>
      <c r="F149" s="26"/>
    </row>
    <row r="150" spans="1:6" ht="39.6">
      <c r="A150" s="24">
        <v>1</v>
      </c>
      <c r="B150" s="25" t="s">
        <v>64</v>
      </c>
      <c r="C150" s="24"/>
      <c r="D150" s="24"/>
      <c r="E150" s="26"/>
      <c r="F150" s="26"/>
    </row>
    <row r="151" spans="1:6">
      <c r="A151" s="22"/>
      <c r="B151" s="25"/>
      <c r="C151" s="22"/>
      <c r="D151" s="22"/>
      <c r="E151" s="31"/>
      <c r="F151" s="32"/>
    </row>
    <row r="152" spans="1:6" ht="12.75" customHeight="1">
      <c r="A152" s="24">
        <f>A150+0.1</f>
        <v>1.1000000000000001</v>
      </c>
      <c r="B152" s="25" t="s">
        <v>7</v>
      </c>
      <c r="C152" s="24" t="s">
        <v>17</v>
      </c>
      <c r="D152" s="24">
        <v>25</v>
      </c>
      <c r="E152" s="31"/>
      <c r="F152" s="32">
        <f t="shared" ref="F152:F160" si="4">E152*D152</f>
        <v>0</v>
      </c>
    </row>
    <row r="153" spans="1:6">
      <c r="A153" s="24"/>
      <c r="B153" s="25"/>
      <c r="C153" s="24"/>
      <c r="D153" s="24"/>
      <c r="E153" s="26"/>
      <c r="F153" s="26">
        <f t="shared" si="4"/>
        <v>0</v>
      </c>
    </row>
    <row r="154" spans="1:6" ht="12.75" customHeight="1">
      <c r="A154" s="24">
        <f>A152+0.1</f>
        <v>1.2000000000000002</v>
      </c>
      <c r="B154" s="25" t="s">
        <v>65</v>
      </c>
      <c r="C154" s="22" t="s">
        <v>17</v>
      </c>
      <c r="D154" s="22">
        <v>25</v>
      </c>
      <c r="E154" s="31"/>
      <c r="F154" s="32">
        <f t="shared" si="4"/>
        <v>0</v>
      </c>
    </row>
    <row r="155" spans="1:6">
      <c r="A155" s="24"/>
      <c r="B155" s="25"/>
      <c r="C155" s="24"/>
      <c r="D155" s="24"/>
      <c r="E155" s="26"/>
      <c r="F155" s="26">
        <f t="shared" si="4"/>
        <v>0</v>
      </c>
    </row>
    <row r="156" spans="1:6" ht="12.75" customHeight="1">
      <c r="A156" s="24">
        <f>A154+0.1</f>
        <v>1.3000000000000003</v>
      </c>
      <c r="B156" s="25" t="s">
        <v>4</v>
      </c>
      <c r="C156" s="22" t="s">
        <v>17</v>
      </c>
      <c r="D156" s="22">
        <v>120</v>
      </c>
      <c r="E156" s="31"/>
      <c r="F156" s="32">
        <f t="shared" si="4"/>
        <v>0</v>
      </c>
    </row>
    <row r="157" spans="1:6" ht="12.75" customHeight="1">
      <c r="A157" s="22"/>
      <c r="B157" s="25"/>
      <c r="C157" s="22"/>
      <c r="D157" s="22"/>
      <c r="E157" s="31"/>
      <c r="F157" s="32"/>
    </row>
    <row r="158" spans="1:6" ht="99" customHeight="1">
      <c r="A158" s="22">
        <v>2</v>
      </c>
      <c r="B158" s="25" t="s">
        <v>98</v>
      </c>
      <c r="C158" s="22"/>
      <c r="D158" s="22"/>
      <c r="E158" s="32"/>
      <c r="F158" s="32">
        <f t="shared" si="4"/>
        <v>0</v>
      </c>
    </row>
    <row r="159" spans="1:6">
      <c r="A159" s="24"/>
      <c r="B159" s="25"/>
      <c r="C159" s="24"/>
      <c r="D159" s="24"/>
      <c r="E159" s="26"/>
      <c r="F159" s="26">
        <f t="shared" si="4"/>
        <v>0</v>
      </c>
    </row>
    <row r="160" spans="1:6" ht="12.75" customHeight="1">
      <c r="A160" s="24">
        <f>A158+0.1</f>
        <v>2.1</v>
      </c>
      <c r="B160" s="25" t="s">
        <v>4</v>
      </c>
      <c r="C160" s="22" t="s">
        <v>17</v>
      </c>
      <c r="D160" s="22">
        <v>45</v>
      </c>
      <c r="E160" s="31"/>
      <c r="F160" s="32">
        <f t="shared" si="4"/>
        <v>0</v>
      </c>
    </row>
    <row r="161" spans="1:6">
      <c r="A161" s="24"/>
      <c r="B161" s="25"/>
      <c r="C161" s="24"/>
      <c r="D161" s="24"/>
      <c r="E161" s="26"/>
      <c r="F161" s="26"/>
    </row>
    <row r="162" spans="1:6" ht="51.75" customHeight="1">
      <c r="A162" s="22">
        <v>3</v>
      </c>
      <c r="B162" s="25" t="s">
        <v>99</v>
      </c>
      <c r="C162" s="22" t="s">
        <v>15</v>
      </c>
      <c r="D162" s="22">
        <v>3</v>
      </c>
      <c r="E162" s="31"/>
      <c r="F162" s="22">
        <f t="shared" ref="F162" si="5">SUM(D162*E162)</f>
        <v>0</v>
      </c>
    </row>
    <row r="163" spans="1:6">
      <c r="A163" s="22"/>
      <c r="B163" s="25"/>
      <c r="C163" s="22"/>
      <c r="D163" s="22"/>
      <c r="E163" s="31"/>
      <c r="F163" s="32"/>
    </row>
    <row r="164" spans="1:6" s="9" customFormat="1">
      <c r="A164" s="38" t="s">
        <v>57</v>
      </c>
      <c r="B164" s="25" t="s">
        <v>52</v>
      </c>
      <c r="C164" s="39"/>
      <c r="D164" s="22"/>
      <c r="E164" s="26"/>
      <c r="F164" s="32"/>
    </row>
    <row r="165" spans="1:6" s="9" customFormat="1">
      <c r="A165" s="38"/>
      <c r="B165" s="25"/>
      <c r="C165" s="39"/>
      <c r="D165" s="22"/>
      <c r="E165" s="26"/>
      <c r="F165" s="32"/>
    </row>
    <row r="166" spans="1:6" s="9" customFormat="1" ht="62.25" customHeight="1">
      <c r="A166" s="40">
        <v>1</v>
      </c>
      <c r="B166" s="25" t="s">
        <v>119</v>
      </c>
      <c r="C166" s="39"/>
      <c r="D166" s="22"/>
      <c r="E166" s="26"/>
      <c r="F166" s="32"/>
    </row>
    <row r="167" spans="1:6" s="9" customFormat="1">
      <c r="A167" s="38"/>
      <c r="B167" s="25"/>
      <c r="C167" s="39"/>
      <c r="D167" s="22"/>
      <c r="E167" s="26"/>
      <c r="F167" s="32"/>
    </row>
    <row r="168" spans="1:6" s="9" customFormat="1" ht="39.6">
      <c r="A168" s="40">
        <v>1.2</v>
      </c>
      <c r="B168" s="25" t="s">
        <v>117</v>
      </c>
      <c r="C168" s="22" t="s">
        <v>32</v>
      </c>
      <c r="D168" s="22">
        <v>1</v>
      </c>
      <c r="E168" s="26"/>
      <c r="F168" s="32">
        <f>E168*D168</f>
        <v>0</v>
      </c>
    </row>
    <row r="169" spans="1:6" s="9" customFormat="1">
      <c r="A169" s="38"/>
      <c r="B169" s="25"/>
      <c r="C169" s="39"/>
      <c r="D169" s="22"/>
      <c r="E169" s="26"/>
      <c r="F169" s="32"/>
    </row>
    <row r="170" spans="1:6" s="9" customFormat="1" ht="39.6">
      <c r="A170" s="40">
        <v>2</v>
      </c>
      <c r="B170" s="25" t="s">
        <v>118</v>
      </c>
      <c r="E170" s="26"/>
      <c r="F170" s="32">
        <f>E170*D172</f>
        <v>0</v>
      </c>
    </row>
    <row r="171" spans="1:6" s="9" customFormat="1">
      <c r="A171" s="38"/>
      <c r="B171" s="25"/>
      <c r="C171" s="39"/>
      <c r="D171" s="22"/>
      <c r="E171" s="26"/>
      <c r="F171" s="32"/>
    </row>
    <row r="172" spans="1:6" s="9" customFormat="1" ht="40.799999999999997">
      <c r="A172" s="38"/>
      <c r="B172" s="25" t="s">
        <v>112</v>
      </c>
      <c r="C172" s="22" t="s">
        <v>31</v>
      </c>
      <c r="D172" s="22">
        <v>1</v>
      </c>
      <c r="E172" s="26"/>
      <c r="F172" s="32"/>
    </row>
    <row r="173" spans="1:6" s="9" customFormat="1">
      <c r="A173" s="38"/>
      <c r="B173" s="25"/>
      <c r="C173" s="39"/>
      <c r="D173" s="22"/>
      <c r="E173" s="26"/>
      <c r="F173" s="32"/>
    </row>
    <row r="174" spans="1:6" s="9" customFormat="1" ht="55.2">
      <c r="A174" s="40">
        <v>3</v>
      </c>
      <c r="B174" s="25" t="s">
        <v>120</v>
      </c>
      <c r="C174" s="41" t="s">
        <v>32</v>
      </c>
      <c r="D174" s="42">
        <v>1</v>
      </c>
      <c r="E174" s="42"/>
      <c r="F174" s="42">
        <f>E174*D174</f>
        <v>0</v>
      </c>
    </row>
    <row r="175" spans="1:6" s="9" customFormat="1" ht="14.4">
      <c r="A175" s="40"/>
      <c r="B175" s="25"/>
      <c r="C175" s="41"/>
      <c r="D175" s="42"/>
      <c r="E175" s="42"/>
      <c r="F175" s="42"/>
    </row>
    <row r="176" spans="1:6" s="9" customFormat="1" ht="36.75" customHeight="1">
      <c r="A176" s="40">
        <v>4</v>
      </c>
      <c r="B176" s="25" t="s">
        <v>113</v>
      </c>
      <c r="C176" s="41" t="s">
        <v>32</v>
      </c>
      <c r="D176" s="42">
        <v>1</v>
      </c>
      <c r="E176" s="42"/>
      <c r="F176" s="42"/>
    </row>
    <row r="177" spans="1:6" s="9" customFormat="1" ht="14.4">
      <c r="A177" s="40"/>
      <c r="B177" s="25"/>
      <c r="C177" s="41"/>
      <c r="D177" s="42"/>
      <c r="E177" s="42"/>
      <c r="F177" s="42"/>
    </row>
    <row r="178" spans="1:6" s="9" customFormat="1" ht="27.6">
      <c r="A178" s="40">
        <v>5</v>
      </c>
      <c r="B178" s="25" t="s">
        <v>114</v>
      </c>
      <c r="C178" s="41" t="s">
        <v>32</v>
      </c>
      <c r="D178" s="42">
        <v>1</v>
      </c>
      <c r="E178" s="42"/>
      <c r="F178" s="42"/>
    </row>
    <row r="179" spans="1:6" s="9" customFormat="1" ht="14.4">
      <c r="A179" s="40"/>
      <c r="B179" s="25"/>
      <c r="C179" s="41"/>
      <c r="D179" s="42"/>
      <c r="E179" s="42"/>
      <c r="F179" s="42"/>
    </row>
    <row r="180" spans="1:6" s="9" customFormat="1" ht="27.6">
      <c r="A180" s="40">
        <v>6</v>
      </c>
      <c r="B180" s="25" t="s">
        <v>115</v>
      </c>
      <c r="C180" s="41" t="s">
        <v>32</v>
      </c>
      <c r="D180" s="42">
        <v>1</v>
      </c>
      <c r="E180" s="42"/>
      <c r="F180" s="42"/>
    </row>
    <row r="181" spans="1:6" s="9" customFormat="1" ht="14.4">
      <c r="A181" s="40"/>
      <c r="B181" s="25"/>
      <c r="C181" s="41"/>
      <c r="D181" s="42"/>
      <c r="E181" s="42"/>
      <c r="F181" s="42"/>
    </row>
    <row r="182" spans="1:6" s="9" customFormat="1" ht="14.4">
      <c r="A182" s="40"/>
      <c r="B182" s="25"/>
      <c r="C182" s="41"/>
      <c r="D182" s="42"/>
      <c r="E182" s="42"/>
      <c r="F182" s="42"/>
    </row>
    <row r="183" spans="1:6" s="9" customFormat="1" ht="14.4">
      <c r="A183" s="38" t="s">
        <v>63</v>
      </c>
      <c r="B183" s="25" t="s">
        <v>75</v>
      </c>
      <c r="C183" s="41"/>
      <c r="D183" s="42"/>
      <c r="E183" s="42"/>
      <c r="F183" s="42"/>
    </row>
    <row r="184" spans="1:6" s="9" customFormat="1" ht="92.4">
      <c r="A184" s="38">
        <v>1</v>
      </c>
      <c r="B184" s="25" t="s">
        <v>100</v>
      </c>
      <c r="C184" s="39"/>
      <c r="D184" s="22"/>
      <c r="E184" s="26"/>
      <c r="F184" s="32"/>
    </row>
    <row r="185" spans="1:6" s="9" customFormat="1">
      <c r="A185" s="40"/>
      <c r="B185" s="25" t="s">
        <v>4</v>
      </c>
      <c r="C185" s="22" t="s">
        <v>17</v>
      </c>
      <c r="D185" s="22">
        <v>140</v>
      </c>
      <c r="E185" s="26"/>
      <c r="F185" s="32">
        <f>E185*D185</f>
        <v>0</v>
      </c>
    </row>
    <row r="186" spans="1:6" s="9" customFormat="1">
      <c r="A186" s="38"/>
      <c r="B186" s="25"/>
      <c r="C186" s="39"/>
      <c r="D186" s="22"/>
      <c r="E186" s="26"/>
      <c r="F186" s="32"/>
    </row>
    <row r="187" spans="1:6" s="9" customFormat="1" ht="55.2">
      <c r="A187" s="40">
        <v>2</v>
      </c>
      <c r="B187" s="25" t="s">
        <v>108</v>
      </c>
      <c r="C187" s="39"/>
      <c r="D187" s="22"/>
      <c r="E187" s="24"/>
      <c r="F187" s="32"/>
    </row>
    <row r="188" spans="1:6" s="9" customFormat="1">
      <c r="A188" s="38"/>
      <c r="B188" s="25" t="s">
        <v>53</v>
      </c>
      <c r="C188" s="39"/>
      <c r="D188" s="22"/>
      <c r="E188" s="26"/>
      <c r="F188" s="32"/>
    </row>
    <row r="189" spans="1:6" s="9" customFormat="1">
      <c r="A189" s="38"/>
      <c r="B189" s="25" t="s">
        <v>54</v>
      </c>
      <c r="C189" s="22" t="s">
        <v>31</v>
      </c>
      <c r="D189" s="22">
        <v>2</v>
      </c>
      <c r="E189" s="26"/>
      <c r="F189" s="32">
        <f>D189*E189</f>
        <v>0</v>
      </c>
    </row>
    <row r="190" spans="1:6" s="9" customFormat="1">
      <c r="A190" s="38"/>
      <c r="B190" s="25"/>
      <c r="C190" s="39"/>
      <c r="D190" s="22"/>
      <c r="E190" s="26"/>
      <c r="F190" s="32"/>
    </row>
    <row r="191" spans="1:6" s="9" customFormat="1">
      <c r="A191" s="38"/>
      <c r="B191" s="25"/>
      <c r="C191" s="39"/>
      <c r="D191" s="22"/>
      <c r="E191" s="26"/>
      <c r="F191" s="32"/>
    </row>
    <row r="192" spans="1:6" s="9" customFormat="1" ht="124.2">
      <c r="A192" s="40">
        <v>3</v>
      </c>
      <c r="B192" s="25" t="s">
        <v>109</v>
      </c>
      <c r="C192" s="22"/>
      <c r="D192" s="22"/>
      <c r="E192" s="26"/>
      <c r="F192" s="32"/>
    </row>
    <row r="193" spans="1:6" s="9" customFormat="1" ht="39.6">
      <c r="A193" s="38"/>
      <c r="B193" s="25" t="s">
        <v>55</v>
      </c>
      <c r="C193" s="24"/>
      <c r="D193" s="22"/>
      <c r="E193" s="26"/>
      <c r="F193" s="32"/>
    </row>
    <row r="194" spans="1:6" s="9" customFormat="1">
      <c r="A194" s="38"/>
      <c r="B194" s="25" t="s">
        <v>56</v>
      </c>
      <c r="C194" s="22" t="s">
        <v>31</v>
      </c>
      <c r="D194" s="22">
        <v>3</v>
      </c>
      <c r="E194" s="26"/>
      <c r="F194" s="32">
        <f>D194*E194</f>
        <v>0</v>
      </c>
    </row>
    <row r="195" spans="1:6" s="9" customFormat="1">
      <c r="A195" s="38"/>
      <c r="B195" s="25"/>
      <c r="C195" s="39"/>
      <c r="D195" s="22"/>
      <c r="E195" s="26"/>
      <c r="F195" s="32"/>
    </row>
    <row r="196" spans="1:6" s="9" customFormat="1" ht="165.6">
      <c r="A196" s="40">
        <v>4</v>
      </c>
      <c r="B196" s="25" t="s">
        <v>110</v>
      </c>
      <c r="C196" s="22" t="s">
        <v>31</v>
      </c>
      <c r="D196" s="22">
        <v>3</v>
      </c>
      <c r="E196" s="26"/>
      <c r="F196" s="32">
        <f>E196*D196</f>
        <v>0</v>
      </c>
    </row>
    <row r="197" spans="1:6" s="9" customFormat="1" ht="27.6">
      <c r="A197" s="38">
        <v>5</v>
      </c>
      <c r="B197" s="25" t="s">
        <v>116</v>
      </c>
      <c r="C197" s="22" t="s">
        <v>31</v>
      </c>
      <c r="D197" s="22">
        <v>1</v>
      </c>
      <c r="E197" s="26"/>
      <c r="F197" s="32"/>
    </row>
    <row r="198" spans="1:6" s="9" customFormat="1" ht="14.4">
      <c r="A198" s="18"/>
      <c r="B198" s="19"/>
      <c r="C198" s="15"/>
      <c r="D198" s="2"/>
      <c r="E198" s="6"/>
      <c r="F198" s="14"/>
    </row>
  </sheetData>
  <protectedRanges>
    <protectedRange sqref="E160" name="Range1_10_3"/>
    <protectedRange sqref="E154:E157" name="Range1_10_1"/>
    <protectedRange sqref="E126:E130" name="Range2_2_1_1"/>
    <protectedRange sqref="E121:E123 E147 E141:E144" name="Range1_5_1_3"/>
    <protectedRange sqref="E118:E120 E138:E140 E145:E146" name="Range1_5_1_1_2"/>
    <protectedRange sqref="K116:K117" name="Range1_5_1_2_1"/>
    <protectedRange sqref="E188:E198 E164:E186" name="Range1_5_1_2_6"/>
  </protectedRanges>
  <mergeCells count="25">
    <mergeCell ref="A1:F1"/>
    <mergeCell ref="B23:F23"/>
    <mergeCell ref="B25:F25"/>
    <mergeCell ref="B27:F27"/>
    <mergeCell ref="B29:F29"/>
    <mergeCell ref="B11:F11"/>
    <mergeCell ref="B13:F13"/>
    <mergeCell ref="B17:F17"/>
    <mergeCell ref="B19:F19"/>
    <mergeCell ref="B43:F43"/>
    <mergeCell ref="B45:F45"/>
    <mergeCell ref="B47:F47"/>
    <mergeCell ref="A3:B3"/>
    <mergeCell ref="B5:F5"/>
    <mergeCell ref="B7:F7"/>
    <mergeCell ref="B9:F9"/>
    <mergeCell ref="B33:F33"/>
    <mergeCell ref="B41:F41"/>
    <mergeCell ref="B15:D15"/>
    <mergeCell ref="B38:D38"/>
    <mergeCell ref="B21:F21"/>
    <mergeCell ref="B31:F31"/>
    <mergeCell ref="B37:F37"/>
    <mergeCell ref="B35:F35"/>
    <mergeCell ref="B39:F39"/>
  </mergeCells>
  <phoneticPr fontId="4" type="noConversion"/>
  <pageMargins left="0.511811023622047" right="0.15748031496063" top="0.59055118110236204" bottom="0.43307086614173201" header="0.196850393700787" footer="0.15748031496063"/>
  <pageSetup paperSize="9" scale="78" fitToHeight="6" orientation="portrait" useFirstPageNumber="1" r:id="rId1"/>
  <headerFooter alignWithMargins="0">
    <oddFooter>&amp;R&amp;"+,Italic"&amp;8&amp;K000000PLUMBING-BOQ-&amp;P</oddFooter>
  </headerFooter>
  <rowBreaks count="3" manualBreakCount="3">
    <brk id="101" max="5" man="1"/>
    <brk id="143" max="5" man="1"/>
    <brk id="182" max="5" man="1"/>
  </rowBreaks>
  <ignoredErrors>
    <ignoredError sqref="F60:F61 F63 F185 F189 F194 F196 F160 F168 F170 F158 F156 F154 F152 F146 F140 F138 F134 F132 F130 F128 F126 F124 F118 F120 F122" unlocked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BOQ</vt:lpstr>
      <vt:lpstr>BOQ!Print_Area</vt:lpstr>
      <vt:lpstr>BOQ!Print_Titles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Sunita</dc:creator>
  <cp:lastModifiedBy>Anish Ahmed</cp:lastModifiedBy>
  <cp:lastPrinted>2026-08-24T12:33:15Z</cp:lastPrinted>
  <dcterms:created xsi:type="dcterms:W3CDTF">2006-02-08T04:38:46Z</dcterms:created>
  <dcterms:modified xsi:type="dcterms:W3CDTF">2026-08-24T12:34:17Z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2m" linkTarget="Prop_2m">
    <vt:lpwstr>#REF!</vt:lpwstr>
  </property>
</Properties>
</file>